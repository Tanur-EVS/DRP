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filterPrivacy="1" hidePivotFieldList="1"/>
  <xr:revisionPtr revIDLastSave="0" documentId="8_{D8ECD881-2243-4999-865E-FB896040F011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LeaderBoard WoW" sheetId="30" r:id="rId1"/>
    <sheet name="Leaderboards" sheetId="28" r:id="rId2"/>
    <sheet name="DA Summary" sheetId="26" r:id="rId3"/>
    <sheet name="BigQuery" sheetId="1" r:id="rId4"/>
    <sheet name="Looker" sheetId="2" r:id="rId5"/>
    <sheet name="Dataflow" sheetId="3" r:id="rId6"/>
    <sheet name="Dataproc" sheetId="4" r:id="rId7"/>
    <sheet name="Google Kubernetes Engine" sheetId="5" r:id="rId8"/>
    <sheet name="Apigee API Management" sheetId="6" r:id="rId9"/>
    <sheet name="Cloud Run" sheetId="7" r:id="rId10"/>
    <sheet name="Cloud SQL" sheetId="8" r:id="rId11"/>
    <sheet name="AlloyDB for PostgreSQL" sheetId="9" r:id="rId12"/>
    <sheet name="Spanner" sheetId="10" r:id="rId13"/>
    <sheet name="Oracle" sheetId="11" r:id="rId14"/>
    <sheet name="Workspace" sheetId="12" r:id="rId15"/>
    <sheet name="Cloud Security" sheetId="13" r:id="rId16"/>
    <sheet name="Security Command Center" sheetId="14" r:id="rId17"/>
    <sheet name="Security Operations" sheetId="15" r:id="rId18"/>
    <sheet name="Google Threat Intelligence" sheetId="16" r:id="rId19"/>
    <sheet name="Vertex AI Platform" sheetId="17" r:id="rId20"/>
    <sheet name="AI Applications" sheetId="18" r:id="rId21"/>
    <sheet name="Gemini Enterprise" sheetId="19" r:id="rId22"/>
    <sheet name="Gemini Enterprise for Customer " sheetId="20" r:id="rId23"/>
    <sheet name="Google Compute Engine" sheetId="21" r:id="rId24"/>
    <sheet name="Google Cloud Networking" sheetId="22" r:id="rId25"/>
    <sheet name="SAP on Google Cloud" sheetId="23" r:id="rId26"/>
    <sheet name="Google Cloud VMware Engine" sheetId="24" r:id="rId27"/>
    <sheet name="Google Distributed Cloud" sheetId="25" r:id="rId28"/>
    <sheet name="Customer Engagement Suite" sheetId="29" r:id="rId29"/>
  </sheets>
  <definedNames>
    <definedName name="_xlnm._FilterDatabase" localSheetId="2" hidden="1">'DA Summary'!$A$1:$AM$1</definedName>
  </definedNames>
  <calcPr calcId="191028"/>
  <pivotCaches>
    <pivotCache cacheId="3215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5" i="26" l="1"/>
  <c r="B30" i="30"/>
  <c r="C30" i="30"/>
  <c r="D30" i="30" s="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" i="30"/>
  <c r="AL3" i="26"/>
  <c r="AL4" i="26"/>
  <c r="AL5" i="26"/>
  <c r="AL6" i="26"/>
  <c r="AL7" i="26"/>
  <c r="AL8" i="26"/>
  <c r="AL9" i="26"/>
  <c r="AL10" i="26"/>
  <c r="AL11" i="26"/>
  <c r="AL12" i="26"/>
  <c r="AL13" i="26"/>
  <c r="AL14" i="26"/>
  <c r="AL15" i="26"/>
  <c r="AL16" i="26"/>
  <c r="AL17" i="26"/>
  <c r="AL18" i="26"/>
  <c r="AL19" i="26"/>
  <c r="AL20" i="26"/>
  <c r="AL21" i="26"/>
  <c r="AL22" i="26"/>
  <c r="AL23" i="26"/>
  <c r="AL24" i="26"/>
  <c r="AL25" i="26"/>
  <c r="AL26" i="26"/>
  <c r="AL27" i="26"/>
  <c r="AL28" i="26"/>
  <c r="AL29" i="26"/>
  <c r="AL30" i="26"/>
  <c r="AL31" i="26"/>
  <c r="AL32" i="26"/>
  <c r="AL33" i="26"/>
  <c r="AL34" i="26"/>
  <c r="AL35" i="26"/>
  <c r="AL36" i="26"/>
  <c r="AL37" i="26"/>
  <c r="AL38" i="26"/>
  <c r="AL39" i="26"/>
  <c r="AL40" i="26"/>
  <c r="AL41" i="26"/>
  <c r="AL42" i="26"/>
  <c r="AL43" i="26"/>
  <c r="AL44" i="26"/>
  <c r="AL45" i="26"/>
  <c r="AL46" i="26"/>
  <c r="AL47" i="26"/>
  <c r="AL48" i="26"/>
  <c r="AL49" i="26"/>
  <c r="AL50" i="26"/>
  <c r="AL51" i="26"/>
  <c r="AL52" i="26"/>
  <c r="AL53" i="26"/>
  <c r="AL54" i="26"/>
  <c r="AL55" i="26"/>
  <c r="AL56" i="26"/>
  <c r="AL57" i="26"/>
  <c r="AL58" i="26"/>
  <c r="AL59" i="26"/>
  <c r="AL60" i="26"/>
  <c r="AL61" i="26"/>
  <c r="AL62" i="26"/>
  <c r="AL63" i="26"/>
  <c r="AL64" i="26"/>
  <c r="AL65" i="26"/>
  <c r="AL66" i="26"/>
  <c r="AL67" i="26"/>
  <c r="AL68" i="26"/>
  <c r="AL69" i="26"/>
  <c r="AL70" i="26"/>
  <c r="AL71" i="26"/>
  <c r="AL72" i="26"/>
  <c r="AL73" i="26"/>
  <c r="AL74" i="26"/>
  <c r="AL75" i="26"/>
  <c r="AL76" i="26"/>
  <c r="AL77" i="26"/>
  <c r="AL78" i="26"/>
  <c r="AL79" i="26"/>
  <c r="AL80" i="26"/>
  <c r="AL81" i="26"/>
  <c r="AL82" i="26"/>
  <c r="AL83" i="26"/>
  <c r="AL84" i="26"/>
  <c r="AL85" i="26"/>
  <c r="AL86" i="26"/>
  <c r="AL87" i="26"/>
  <c r="AL2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N19" i="26"/>
  <c r="AM19" i="26" s="1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N20" i="26"/>
  <c r="AM20" i="26" s="1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N21" i="26"/>
  <c r="AM21" i="26" s="1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N32" i="26"/>
  <c r="AM32" i="26" s="1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K32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K33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K34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K35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K36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K37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K38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K39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K40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K41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K42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K43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K44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K45" i="26"/>
  <c r="N46" i="26"/>
  <c r="AM46" i="26" s="1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K46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K47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K48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K49" i="26"/>
  <c r="N50" i="26"/>
  <c r="AM50" i="26" s="1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K50" i="26"/>
  <c r="N51" i="26"/>
  <c r="AM51" i="26" s="1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K51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K52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K53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K54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K55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K56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K57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K58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K59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K60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K68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K69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K70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K71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K72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K73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K74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K75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K76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K77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K78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K79" i="26"/>
  <c r="N80" i="26"/>
  <c r="AM80" i="26" s="1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K80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K81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K82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K83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K84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K85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K86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K87" i="26"/>
  <c r="AK2" i="26"/>
  <c r="AJ2" i="26"/>
  <c r="AI2" i="26"/>
  <c r="AH2" i="26"/>
  <c r="AG2" i="26"/>
  <c r="AF2" i="26"/>
  <c r="AE2" i="26"/>
  <c r="AD2" i="26"/>
  <c r="AC2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O2" i="26"/>
  <c r="N2" i="26"/>
  <c r="AM79" i="26" l="1"/>
  <c r="AM78" i="26"/>
  <c r="AM77" i="26"/>
  <c r="AM76" i="26"/>
  <c r="AM75" i="26"/>
  <c r="AM74" i="26"/>
  <c r="AM73" i="26"/>
  <c r="AM72" i="26"/>
  <c r="AM71" i="26"/>
  <c r="AM70" i="26"/>
  <c r="AM69" i="26"/>
  <c r="AM68" i="26"/>
  <c r="AM67" i="26"/>
  <c r="AM66" i="26"/>
  <c r="AM65" i="26"/>
  <c r="AM64" i="26"/>
  <c r="AM63" i="26"/>
  <c r="AM62" i="26"/>
  <c r="AM61" i="26"/>
  <c r="AM60" i="26"/>
  <c r="AM59" i="26"/>
  <c r="AM58" i="26"/>
  <c r="AM57" i="26"/>
  <c r="AM56" i="26"/>
  <c r="AM55" i="26"/>
  <c r="AM54" i="26"/>
  <c r="AM53" i="26"/>
  <c r="AM52" i="26"/>
  <c r="AM2" i="26"/>
  <c r="AM87" i="26"/>
  <c r="AM86" i="26"/>
  <c r="AM84" i="26"/>
  <c r="AM83" i="26"/>
  <c r="AM82" i="26"/>
  <c r="AM81" i="26"/>
  <c r="AM49" i="26"/>
  <c r="AM48" i="26"/>
  <c r="AM47" i="26"/>
  <c r="AM45" i="26"/>
  <c r="AM44" i="26"/>
  <c r="AM43" i="26"/>
  <c r="AM42" i="26"/>
  <c r="AM41" i="26"/>
  <c r="AM40" i="26"/>
  <c r="AM39" i="26"/>
  <c r="AM38" i="26"/>
  <c r="AM37" i="26"/>
  <c r="AM36" i="26"/>
  <c r="AM35" i="26"/>
  <c r="AM34" i="26"/>
  <c r="AM33" i="26"/>
  <c r="AM31" i="26"/>
  <c r="AM30" i="26"/>
  <c r="AM29" i="26"/>
  <c r="AM28" i="26"/>
  <c r="AM27" i="26"/>
  <c r="AM26" i="26"/>
  <c r="AM25" i="26"/>
  <c r="AM24" i="26"/>
  <c r="AM23" i="26"/>
  <c r="AM22" i="26"/>
  <c r="AM18" i="26"/>
  <c r="AM17" i="26"/>
  <c r="AM16" i="26"/>
  <c r="AM15" i="26"/>
  <c r="AM14" i="26"/>
  <c r="AM13" i="26"/>
  <c r="AM12" i="26"/>
  <c r="AM11" i="26"/>
  <c r="AM10" i="26"/>
  <c r="AM9" i="26"/>
  <c r="AM8" i="26"/>
  <c r="AM7" i="26"/>
  <c r="AM6" i="26"/>
  <c r="AM5" i="26"/>
  <c r="AM4" i="26"/>
  <c r="AM3" i="26"/>
</calcChain>
</file>

<file path=xl/sharedStrings.xml><?xml version="1.0" encoding="utf-8"?>
<sst xmlns="http://schemas.openxmlformats.org/spreadsheetml/2006/main" count="11683" uniqueCount="634">
  <si>
    <t>Employee Name</t>
  </si>
  <si>
    <t>Total GCP Points W13-01</t>
  </si>
  <si>
    <t>Total GCP Points W20-01</t>
  </si>
  <si>
    <t>Change WoW</t>
  </si>
  <si>
    <t>Amandeep Singh</t>
  </si>
  <si>
    <t>Andres Felipe Lagos Ruiz</t>
  </si>
  <si>
    <t>Venkatesh Coimbatore Kannan</t>
  </si>
  <si>
    <t>Ankit Pandey</t>
  </si>
  <si>
    <t>Richard Saavedra</t>
  </si>
  <si>
    <t>Abhinav Chandna</t>
  </si>
  <si>
    <t>Raman Bangalore Venkatakrishnan</t>
  </si>
  <si>
    <t>Ka Ho Ng</t>
  </si>
  <si>
    <t>Igor Wilk</t>
  </si>
  <si>
    <t>Luis Vilches</t>
  </si>
  <si>
    <t>Camila Da Silveira</t>
  </si>
  <si>
    <t>Fernando Espinoza</t>
  </si>
  <si>
    <t>Nithin Narayanan</t>
  </si>
  <si>
    <t>Shrestha Sai Laxmi Yadavilli</t>
  </si>
  <si>
    <t>Julio Verdugo</t>
  </si>
  <si>
    <t>Brayan Triana</t>
  </si>
  <si>
    <t>Gregory Casanova</t>
  </si>
  <si>
    <t>Oliver Pozo</t>
  </si>
  <si>
    <t>Joao Ferraz Villela</t>
  </si>
  <si>
    <t>Benja Appel</t>
  </si>
  <si>
    <t>Arnav Sharma</t>
  </si>
  <si>
    <t>Tomas Fernandez</t>
  </si>
  <si>
    <t>Neptali Vasquez Baxman</t>
  </si>
  <si>
    <t>Ivo Carvallo</t>
  </si>
  <si>
    <t>Fuad Onate</t>
  </si>
  <si>
    <t>Felipe Espinoza</t>
  </si>
  <si>
    <t>Bruno Rodríguez</t>
  </si>
  <si>
    <t>Grand Total</t>
  </si>
  <si>
    <t>Total GCP Points</t>
  </si>
  <si>
    <t>EMP ID</t>
  </si>
  <si>
    <t>Entity</t>
  </si>
  <si>
    <t>Designation</t>
  </si>
  <si>
    <t>Level</t>
  </si>
  <si>
    <t>RM Name</t>
  </si>
  <si>
    <t>LOB</t>
  </si>
  <si>
    <t>Sub Lob</t>
  </si>
  <si>
    <t>Category</t>
  </si>
  <si>
    <t>ROLE</t>
  </si>
  <si>
    <t>Practice</t>
  </si>
  <si>
    <t>Practice Leader</t>
  </si>
  <si>
    <t>Certificate mapping</t>
  </si>
  <si>
    <t>BigQuery</t>
  </si>
  <si>
    <t>Looker</t>
  </si>
  <si>
    <t>Dataflow</t>
  </si>
  <si>
    <t>Dataproc</t>
  </si>
  <si>
    <t>GKE</t>
  </si>
  <si>
    <t>Apigee</t>
  </si>
  <si>
    <t>Cloud Run</t>
  </si>
  <si>
    <t>Workspace</t>
  </si>
  <si>
    <t>Cloud SQL</t>
  </si>
  <si>
    <t>AlloyDB</t>
  </si>
  <si>
    <t>Spanner</t>
  </si>
  <si>
    <t>Oracle</t>
  </si>
  <si>
    <t>GCE</t>
  </si>
  <si>
    <t>GCN</t>
  </si>
  <si>
    <t>SAP</t>
  </si>
  <si>
    <t>VMware</t>
  </si>
  <si>
    <t>GDC</t>
  </si>
  <si>
    <t>Cloud Sec.</t>
  </si>
  <si>
    <t>SCC</t>
  </si>
  <si>
    <t>SecOps</t>
  </si>
  <si>
    <t>GTI</t>
  </si>
  <si>
    <t>Vertex AI</t>
  </si>
  <si>
    <t>AI App</t>
  </si>
  <si>
    <t>Gemini</t>
  </si>
  <si>
    <t>CES</t>
  </si>
  <si>
    <t>CAN-20796</t>
  </si>
  <si>
    <t>CAN</t>
  </si>
  <si>
    <t>Abhinandan Singh Jamwal</t>
  </si>
  <si>
    <t>Consultant</t>
  </si>
  <si>
    <t>L4</t>
  </si>
  <si>
    <t xml:space="preserve">Nishant Saxena </t>
  </si>
  <si>
    <t>CIDA-05</t>
  </si>
  <si>
    <t>CIDA-05-3</t>
  </si>
  <si>
    <t>Ops</t>
  </si>
  <si>
    <t>BI Developer</t>
  </si>
  <si>
    <t>DM</t>
  </si>
  <si>
    <t>CAN-23494</t>
  </si>
  <si>
    <t>Senior Consultant</t>
  </si>
  <si>
    <t>L5</t>
  </si>
  <si>
    <t xml:space="preserve">Venkatesh Kannan </t>
  </si>
  <si>
    <t>CIDA-05-1</t>
  </si>
  <si>
    <t>Data Engineer</t>
  </si>
  <si>
    <t>DE</t>
  </si>
  <si>
    <t>INC-24352</t>
  </si>
  <si>
    <t>INC</t>
  </si>
  <si>
    <t>Kumar Shiveshwar</t>
  </si>
  <si>
    <t>Junior Analyst</t>
  </si>
  <si>
    <t>L1</t>
  </si>
  <si>
    <t xml:space="preserve">Duwage Gunasekara </t>
  </si>
  <si>
    <t>CIDA-05-2</t>
  </si>
  <si>
    <t>Data Scientist</t>
  </si>
  <si>
    <t>DS</t>
  </si>
  <si>
    <t>Rajat Singh</t>
  </si>
  <si>
    <t>CHI-9082</t>
  </si>
  <si>
    <t>CHI</t>
  </si>
  <si>
    <t>Alvaro Flores</t>
  </si>
  <si>
    <t xml:space="preserve">Daniel Gatica </t>
  </si>
  <si>
    <t>CIDA-01</t>
  </si>
  <si>
    <t>CIDA-01-1</t>
  </si>
  <si>
    <t>CHI-14611</t>
  </si>
  <si>
    <t>Principal Consultant</t>
  </si>
  <si>
    <t>L6</t>
  </si>
  <si>
    <t xml:space="preserve">Walter Paredes </t>
  </si>
  <si>
    <t>CIDA-01-6</t>
  </si>
  <si>
    <t>ML Engineer</t>
  </si>
  <si>
    <t>SD</t>
  </si>
  <si>
    <t>Walter Paredes</t>
  </si>
  <si>
    <t>Professional Cloud DevOps Engineer</t>
  </si>
  <si>
    <t>COL-21961</t>
  </si>
  <si>
    <t>COL</t>
  </si>
  <si>
    <t>Senior Analyst</t>
  </si>
  <si>
    <t>L3</t>
  </si>
  <si>
    <t xml:space="preserve">Lawrence Setien </t>
  </si>
  <si>
    <t>INC-16832</t>
  </si>
  <si>
    <t>Associate Director</t>
  </si>
  <si>
    <t>L7</t>
  </si>
  <si>
    <t xml:space="preserve">Rajat Singh </t>
  </si>
  <si>
    <t>CIDA-01-2</t>
  </si>
  <si>
    <t>INC-17749</t>
  </si>
  <si>
    <t>Apeksha Sharma</t>
  </si>
  <si>
    <t xml:space="preserve">Raman Bangalore Venkatakr </t>
  </si>
  <si>
    <t>CIDA-05-4</t>
  </si>
  <si>
    <t>BI</t>
  </si>
  <si>
    <t>INC-13370</t>
  </si>
  <si>
    <t>CHI-19693</t>
  </si>
  <si>
    <t>Arturo Pantoja</t>
  </si>
  <si>
    <t>Analyst</t>
  </si>
  <si>
    <t>L2</t>
  </si>
  <si>
    <t xml:space="preserve">Brian Mackenzie </t>
  </si>
  <si>
    <t>CHI-15605</t>
  </si>
  <si>
    <t>Senior Engineer</t>
  </si>
  <si>
    <t xml:space="preserve">Orlando Patino </t>
  </si>
  <si>
    <t>Full Stack Developer</t>
  </si>
  <si>
    <t>COL-21960</t>
  </si>
  <si>
    <t xml:space="preserve">Marcelo Pimentel </t>
  </si>
  <si>
    <t>CHI-18242</t>
  </si>
  <si>
    <t>Brian Mackenzie</t>
  </si>
  <si>
    <t xml:space="preserve">Diego Cordova </t>
  </si>
  <si>
    <t>CHI-16338</t>
  </si>
  <si>
    <t xml:space="preserve">Maria Ramirez </t>
  </si>
  <si>
    <t>Professional Cloud Developer</t>
  </si>
  <si>
    <t>CAN-21345</t>
  </si>
  <si>
    <t>CHI-17853</t>
  </si>
  <si>
    <t>Carlos Fuensalida</t>
  </si>
  <si>
    <t xml:space="preserve">Kelly Sparks </t>
  </si>
  <si>
    <t>DevOps Engineer</t>
  </si>
  <si>
    <t>COL-21963</t>
  </si>
  <si>
    <t>Carlos Llinas</t>
  </si>
  <si>
    <t xml:space="preserve">Jorge Ponce </t>
  </si>
  <si>
    <t>Project Manager</t>
  </si>
  <si>
    <t>CHI-14952</t>
  </si>
  <si>
    <t>Carolina Aspee</t>
  </si>
  <si>
    <t>CIDA-01-4</t>
  </si>
  <si>
    <t>CHI-17264</t>
  </si>
  <si>
    <t>Celia Riquelme</t>
  </si>
  <si>
    <t xml:space="preserve">Julio Verdugo </t>
  </si>
  <si>
    <t>INC-23760</t>
  </si>
  <si>
    <t>Christiane Marie Liliane Fortin</t>
  </si>
  <si>
    <t>CIDA-05-6</t>
  </si>
  <si>
    <t>Business Systems Analyst</t>
  </si>
  <si>
    <t>INC-18931</t>
  </si>
  <si>
    <t>Clinton Pillsbury</t>
  </si>
  <si>
    <t>Machine Learning Engineer</t>
  </si>
  <si>
    <t>CHI-17685</t>
  </si>
  <si>
    <t>Cristian Brauchy</t>
  </si>
  <si>
    <t xml:space="preserve">Gabriel Gajardo </t>
  </si>
  <si>
    <t>CHI-11452</t>
  </si>
  <si>
    <t>Daniel Fuentes</t>
  </si>
  <si>
    <t>CHI-11639</t>
  </si>
  <si>
    <t>Daniel Gatica</t>
  </si>
  <si>
    <t>CHI-16523</t>
  </si>
  <si>
    <t>Daniela Poblete</t>
  </si>
  <si>
    <t>CHI-13106</t>
  </si>
  <si>
    <t>Daniela Soto</t>
  </si>
  <si>
    <t>CHI-18680</t>
  </si>
  <si>
    <t>David Hernandez</t>
  </si>
  <si>
    <t>UI/UX Designer</t>
  </si>
  <si>
    <t>None</t>
  </si>
  <si>
    <t>CHI-10765</t>
  </si>
  <si>
    <t>Diego Cordova</t>
  </si>
  <si>
    <t>CHI-15485</t>
  </si>
  <si>
    <t>Diego Hevia</t>
  </si>
  <si>
    <t>INC-18223</t>
  </si>
  <si>
    <t>Mihidum Gunasekara</t>
  </si>
  <si>
    <t xml:space="preserve">Arnav Sharma </t>
  </si>
  <si>
    <t>CHI-21705</t>
  </si>
  <si>
    <t>Eduardo Farias</t>
  </si>
  <si>
    <t>CHI-8009</t>
  </si>
  <si>
    <t>Esteban Torres</t>
  </si>
  <si>
    <t>COL-23630</t>
  </si>
  <si>
    <t>Fabiana Alvarado</t>
  </si>
  <si>
    <t xml:space="preserve">David Hernandez </t>
  </si>
  <si>
    <t>CHI-21131</t>
  </si>
  <si>
    <t>CHI-14901</t>
  </si>
  <si>
    <t>Fernando Arcaya</t>
  </si>
  <si>
    <t xml:space="preserve">Tomy Ciociola </t>
  </si>
  <si>
    <t>CHI-15654</t>
  </si>
  <si>
    <t>CHI-16395</t>
  </si>
  <si>
    <t>Francisca Schalchli</t>
  </si>
  <si>
    <t>CHI-10770</t>
  </si>
  <si>
    <t>Francisco Lillo</t>
  </si>
  <si>
    <t>Digital analyst</t>
  </si>
  <si>
    <t>CHI-18925</t>
  </si>
  <si>
    <t>CHI-13871</t>
  </si>
  <si>
    <t>Gabriel Gajardo</t>
  </si>
  <si>
    <t>CHI-20617</t>
  </si>
  <si>
    <t>Engineer</t>
  </si>
  <si>
    <t>CHI-21550</t>
  </si>
  <si>
    <t>CIDA-01-3</t>
  </si>
  <si>
    <t>CHI-17262</t>
  </si>
  <si>
    <t xml:space="preserve">Esteban Torres </t>
  </si>
  <si>
    <t>CAN-20911</t>
  </si>
  <si>
    <t>Jatin Narula</t>
  </si>
  <si>
    <t>Nishant Saxena</t>
  </si>
  <si>
    <t>INC-24353</t>
  </si>
  <si>
    <t>Jedidiah Samuel Chung</t>
  </si>
  <si>
    <t>CHI-22715</t>
  </si>
  <si>
    <t>CHI-21302</t>
  </si>
  <si>
    <t>Jordi Silva Muñoz</t>
  </si>
  <si>
    <t>CHI-14991</t>
  </si>
  <si>
    <t>Jorge Orrego</t>
  </si>
  <si>
    <t>CHI-12362</t>
  </si>
  <si>
    <t>Jorge Ponce</t>
  </si>
  <si>
    <t>Cloud Digital Leader</t>
  </si>
  <si>
    <t>CHI-9230</t>
  </si>
  <si>
    <t>CAN-21882</t>
  </si>
  <si>
    <t>Renewals</t>
  </si>
  <si>
    <t>CAN-21140</t>
  </si>
  <si>
    <t>Kanwarpreet Gaba</t>
  </si>
  <si>
    <t>INC-18041</t>
  </si>
  <si>
    <t>Kelly Sparks</t>
  </si>
  <si>
    <t>CHI-14471</t>
  </si>
  <si>
    <t>Kevin Aballay</t>
  </si>
  <si>
    <t>Lead Engineer</t>
  </si>
  <si>
    <t>INC-20916</t>
  </si>
  <si>
    <t>Kewal Shah</t>
  </si>
  <si>
    <t>CIDA-09</t>
  </si>
  <si>
    <t>CIDA-09-2</t>
  </si>
  <si>
    <t>GCP</t>
  </si>
  <si>
    <t>CHI-18392</t>
  </si>
  <si>
    <t>Lawrence Setien</t>
  </si>
  <si>
    <t>CHI-18865</t>
  </si>
  <si>
    <t>Lorena Canete</t>
  </si>
  <si>
    <t>CHI-22431</t>
  </si>
  <si>
    <t>CHI-21717</t>
  </si>
  <si>
    <t>Marcelo Pimentel</t>
  </si>
  <si>
    <t>CHI-12354</t>
  </si>
  <si>
    <t>Maria Ines Ramirez</t>
  </si>
  <si>
    <t>INC-23888</t>
  </si>
  <si>
    <t>Matias Hernandez</t>
  </si>
  <si>
    <t>Functional Consultant</t>
  </si>
  <si>
    <t>CAN-23292</t>
  </si>
  <si>
    <t>Mikhail Sidyakov</t>
  </si>
  <si>
    <t>CHI-17847</t>
  </si>
  <si>
    <t>CHI-13097</t>
  </si>
  <si>
    <t>Nicole Carvajal</t>
  </si>
  <si>
    <t>CAN-19682</t>
  </si>
  <si>
    <t>INC-12480</t>
  </si>
  <si>
    <t>CHI-21536</t>
  </si>
  <si>
    <t>CHI-20889</t>
  </si>
  <si>
    <t>Orlando Patino</t>
  </si>
  <si>
    <t>Generative AI Leader</t>
  </si>
  <si>
    <t>CHI-11455</t>
  </si>
  <si>
    <t>Pablo Saravia</t>
  </si>
  <si>
    <t>INC-23379</t>
  </si>
  <si>
    <t>Polina Kotina</t>
  </si>
  <si>
    <t>INC-16698</t>
  </si>
  <si>
    <t>CAN-17611</t>
  </si>
  <si>
    <t>RAMANDEEP RATTAN</t>
  </si>
  <si>
    <t xml:space="preserve">Sidharth Choubey </t>
  </si>
  <si>
    <t>COL-21964</t>
  </si>
  <si>
    <t>CAN-21755</t>
  </si>
  <si>
    <t>Rimly Kar</t>
  </si>
  <si>
    <t>CHI-21457</t>
  </si>
  <si>
    <t>Ritimayee Sahu</t>
  </si>
  <si>
    <t>CHI-24493</t>
  </si>
  <si>
    <t>Rodrigo Martinez</t>
  </si>
  <si>
    <t>CIDA-08</t>
  </si>
  <si>
    <t>CIDA-08-1</t>
  </si>
  <si>
    <t>CHI-10777</t>
  </si>
  <si>
    <t>Sebastian Palominos</t>
  </si>
  <si>
    <t>INC-24213</t>
  </si>
  <si>
    <t>INC-14982</t>
  </si>
  <si>
    <t>Sidharth Choubey</t>
  </si>
  <si>
    <t>CAN-19471</t>
  </si>
  <si>
    <t>Simant Priyadarshi</t>
  </si>
  <si>
    <t>INC-21977</t>
  </si>
  <si>
    <t>Soniya Deshpande</t>
  </si>
  <si>
    <t xml:space="preserve">Ankit Pandey </t>
  </si>
  <si>
    <t>Tushar Gupta</t>
  </si>
  <si>
    <t>CHI-13092</t>
  </si>
  <si>
    <t>CHI-15781</t>
  </si>
  <si>
    <t>Tomy Ciociola</t>
  </si>
  <si>
    <t>INC-21304</t>
  </si>
  <si>
    <t>CIDA-05-M1</t>
  </si>
  <si>
    <t>CHI-20391</t>
  </si>
  <si>
    <t>Victor Bustos</t>
  </si>
  <si>
    <t>Junior Engineer</t>
  </si>
  <si>
    <t>CHI-14452</t>
  </si>
  <si>
    <t>CIDA-01-M1</t>
  </si>
  <si>
    <t>Ops G&amp;A</t>
  </si>
  <si>
    <t>Others</t>
  </si>
  <si>
    <t>Name</t>
  </si>
  <si>
    <t>DRP ID</t>
  </si>
  <si>
    <t>Email</t>
  </si>
  <si>
    <t>DRI through Other Cloud Experience (max 4)</t>
  </si>
  <si>
    <t>DRI through Project Deployed (max 51)</t>
  </si>
  <si>
    <t>DRI through Skill Badges (max 15)</t>
  </si>
  <si>
    <t>DRI through Labs</t>
  </si>
  <si>
    <t>DRI through Technical Training (max 15)</t>
  </si>
  <si>
    <t>DRI through Technical Certification (max 15)</t>
  </si>
  <si>
    <t>Total DRI</t>
  </si>
  <si>
    <t>EVAAPILP1</t>
  </si>
  <si>
    <t>ankit.pandey1@evalueserve.com</t>
  </si>
  <si>
    <t>EVAACBIT7</t>
  </si>
  <si>
    <t>abhinav.chandna@evalueserve.com</t>
  </si>
  <si>
    <t>Ravi Teja K</t>
  </si>
  <si>
    <t>EVARKHHI6</t>
  </si>
  <si>
    <t>k.teja@evalueserve.com</t>
  </si>
  <si>
    <t>Shubham Pathak</t>
  </si>
  <si>
    <t>EVASPEEM6</t>
  </si>
  <si>
    <t>shubham.pathak@evalueserve.com</t>
  </si>
  <si>
    <t>Sagorika Poddar</t>
  </si>
  <si>
    <t>EVASPJIR0</t>
  </si>
  <si>
    <t>sagorika.poddar1@evalueserve.com</t>
  </si>
  <si>
    <t>Erick Gonzalez</t>
  </si>
  <si>
    <t>EVAEGRGT2</t>
  </si>
  <si>
    <t>erick.gonzalez@evalueserve.com</t>
  </si>
  <si>
    <t>EVACDZQR9</t>
  </si>
  <si>
    <t>camila.silveira@evalueserve.com</t>
  </si>
  <si>
    <t>Dhreti Rishi</t>
  </si>
  <si>
    <t>EVADRZXB8</t>
  </si>
  <si>
    <t>dhreti.rishi@evalueserve.com</t>
  </si>
  <si>
    <t>Bhavya Shaan</t>
  </si>
  <si>
    <t>EVABSMNZ9</t>
  </si>
  <si>
    <t>bhavya.shaan@evalueserve.com</t>
  </si>
  <si>
    <t>Mohit Agarwal</t>
  </si>
  <si>
    <t>EVAMAONM3</t>
  </si>
  <si>
    <t>mohit.agarwal3@evalueserve.com</t>
  </si>
  <si>
    <t>Flavio Boaventura</t>
  </si>
  <si>
    <t>EVAFBQHW6</t>
  </si>
  <si>
    <t>flavio.boaventura@evalueserve.com</t>
  </si>
  <si>
    <t>RATNAKAR DHRUV VATS</t>
  </si>
  <si>
    <t>EVARVLMI7</t>
  </si>
  <si>
    <t>ratnakar.vats1@evalueserve.com</t>
  </si>
  <si>
    <t>Abhishek Pratap Singh</t>
  </si>
  <si>
    <t>EVAASFAG2</t>
  </si>
  <si>
    <t>abhishek.singh11@evalueserve.com</t>
  </si>
  <si>
    <t>Rajat Soni</t>
  </si>
  <si>
    <t>EVARSCXE3</t>
  </si>
  <si>
    <t>rajat.soni@evalueserve.com</t>
  </si>
  <si>
    <t>Abhinav Bhardwaj</t>
  </si>
  <si>
    <t>EVAABZKA0</t>
  </si>
  <si>
    <t>abhinav.bhardwaj@evalueserve.com</t>
  </si>
  <si>
    <t>Surbhi Nayar</t>
  </si>
  <si>
    <t>EVASNFFN6</t>
  </si>
  <si>
    <t>surbhi.nayar@evalueserve.com</t>
  </si>
  <si>
    <t>EVAOPCIK3</t>
  </si>
  <si>
    <t>orlando.patino@evalueserve.com</t>
  </si>
  <si>
    <t>Ankit Khullar</t>
  </si>
  <si>
    <t>EVAAKNOY8</t>
  </si>
  <si>
    <t>ankit.khullar@evalueserve.com</t>
  </si>
  <si>
    <t>Upansh Agarwal</t>
  </si>
  <si>
    <t>EVAUALYN4</t>
  </si>
  <si>
    <t>upansh.agarwal@evalueserve.com</t>
  </si>
  <si>
    <t>EVAASOGH7</t>
  </si>
  <si>
    <t>arnav.sharma@evalueserve.com</t>
  </si>
  <si>
    <t>EVACFOZS4</t>
  </si>
  <si>
    <t>carlos.fuensalida@evalueserve.com</t>
  </si>
  <si>
    <t>EVABAVVR6</t>
  </si>
  <si>
    <t>benjamin.appel@evalueserve.com</t>
  </si>
  <si>
    <t>EVAFADDT9</t>
  </si>
  <si>
    <t>fabiana.alvarado@evalueserve.com</t>
  </si>
  <si>
    <t>EVAKARGF3</t>
  </si>
  <si>
    <t>kevin.aballay@evalueserve.com</t>
  </si>
  <si>
    <t>EVANVSMT5</t>
  </si>
  <si>
    <t>neptali.vasquez@evalueserve.com</t>
  </si>
  <si>
    <t>EVAVBWCA3</t>
  </si>
  <si>
    <t>victor.bustos@evalueserve.com</t>
  </si>
  <si>
    <t>EVACPIMW4</t>
  </si>
  <si>
    <t>clinton.pillsbury@evalueserve.com</t>
  </si>
  <si>
    <t>EVAFETIE0</t>
  </si>
  <si>
    <t>felipe.espinoza@evalueserve.com</t>
  </si>
  <si>
    <t>EVADHYPF8</t>
  </si>
  <si>
    <t>diego.hevia@evalueserve.com</t>
  </si>
  <si>
    <t>EVADPREU0</t>
  </si>
  <si>
    <t>daniela.poblete1@evalueserve.com</t>
  </si>
  <si>
    <t>EVANNHOZ1</t>
  </si>
  <si>
    <t>nithin.narayanan@evalueserve.com</t>
  </si>
  <si>
    <t>EVADCKWN5</t>
  </si>
  <si>
    <t>diego.cordova@evalueserve.com</t>
  </si>
  <si>
    <t>EVAJFXNA7</t>
  </si>
  <si>
    <t>joao.villela1@evalueserve.com</t>
  </si>
  <si>
    <t>EVAFLSZV7</t>
  </si>
  <si>
    <t>francisco.lillo@evalueserve.com</t>
  </si>
  <si>
    <t>EVANCQGW8</t>
  </si>
  <si>
    <t>nicole.carvajal@evalueserve.com</t>
  </si>
  <si>
    <t>EVADSIGX4</t>
  </si>
  <si>
    <t>daniela.soto@evalueserve.com</t>
  </si>
  <si>
    <t>EVAETWCB3</t>
  </si>
  <si>
    <t>esteban.torres@evalueserve.com</t>
  </si>
  <si>
    <t>EVAJSNDB4</t>
  </si>
  <si>
    <t>jordi.silva@evalueserve.com</t>
  </si>
  <si>
    <t>EVARSOJQ3</t>
  </si>
  <si>
    <t>ritimayee.sahu@evalueserve.com</t>
  </si>
  <si>
    <t>EVAGGGMU3</t>
  </si>
  <si>
    <t>gabriel.gajardo@evalueserve.com</t>
  </si>
  <si>
    <t>EVAAFLMN8</t>
  </si>
  <si>
    <t>alvaro.flores@evalueserve.com</t>
  </si>
  <si>
    <t>EVATCROM0</t>
  </si>
  <si>
    <t>tomy.ciociola@evalueserve.com</t>
  </si>
  <si>
    <t>EVAAPNHJ9</t>
  </si>
  <si>
    <t>arturo.pantoja@evalueserve.com</t>
  </si>
  <si>
    <t>Christiane Fortin</t>
  </si>
  <si>
    <t>EVACFFWP1</t>
  </si>
  <si>
    <t>christiane.fortin@evalueserve.com</t>
  </si>
  <si>
    <t>EVAFSHVT3</t>
  </si>
  <si>
    <t>francisca.schalchli@evalueserve.com</t>
  </si>
  <si>
    <t>EVAVCJCC5</t>
  </si>
  <si>
    <t>venkatesh.kannan@evalueserve.com</t>
  </si>
  <si>
    <t>Jasandeep Singh Mann</t>
  </si>
  <si>
    <t>EVAJMSJM2</t>
  </si>
  <si>
    <t>jasandeep.singh@evalueserve.com</t>
  </si>
  <si>
    <t>EVARSYEQ9</t>
  </si>
  <si>
    <t>richard.saavedra@evalueserve.com</t>
  </si>
  <si>
    <t>EVAALVPL2</t>
  </si>
  <si>
    <t>andres.lagos@evalueserve.com</t>
  </si>
  <si>
    <t>Harshit Namdev</t>
  </si>
  <si>
    <t>EVAHNRJU6</t>
  </si>
  <si>
    <t>harshit.namdev@evalueserve.com</t>
  </si>
  <si>
    <t>EVAASTQP0</t>
  </si>
  <si>
    <t>amandeep.singh2@evalueserve.com</t>
  </si>
  <si>
    <t>Alex Peña</t>
  </si>
  <si>
    <t>EVAAPWLJ9</t>
  </si>
  <si>
    <t>alex.pena@evalueserve.com</t>
  </si>
  <si>
    <t>Saman Javed</t>
  </si>
  <si>
    <t>EVASJRHK8</t>
  </si>
  <si>
    <t>saman.javed@evalueserve.com</t>
  </si>
  <si>
    <t>Shashank Sharma</t>
  </si>
  <si>
    <t>EVASSXJR1</t>
  </si>
  <si>
    <t>shashank.sharma2@evalueserve.com</t>
  </si>
  <si>
    <t>Soumya Gobbani</t>
  </si>
  <si>
    <t>EVASGXZS4</t>
  </si>
  <si>
    <t>soumya.gobbani@evalueserve.com</t>
  </si>
  <si>
    <t>Ricardo Nain</t>
  </si>
  <si>
    <t>EVARNBAB5</t>
  </si>
  <si>
    <t>ricardo.nain@evalueserve.com</t>
  </si>
  <si>
    <t>Ron deLara</t>
  </si>
  <si>
    <t>EVARDLQH5</t>
  </si>
  <si>
    <t>ron.delara@evalueserve.com</t>
  </si>
  <si>
    <t>Ambar Awasthi</t>
  </si>
  <si>
    <t>EVAAALKN1</t>
  </si>
  <si>
    <t>ambar.awasthi1@evalueserve.com</t>
  </si>
  <si>
    <t>Rakesh Kumar Jha</t>
  </si>
  <si>
    <t>EVARJOPG5</t>
  </si>
  <si>
    <t>rakesh.jha1@evalueserve.com</t>
  </si>
  <si>
    <t>Vinay Pathak</t>
  </si>
  <si>
    <t>EVAVPRXA8</t>
  </si>
  <si>
    <t>vinay.pathak@evalueserve.com</t>
  </si>
  <si>
    <t>Mayank Rawat</t>
  </si>
  <si>
    <t>EVAMRLNZ3</t>
  </si>
  <si>
    <t>mayank.rawat@evalueserve.com</t>
  </si>
  <si>
    <t>Santosh Kumar</t>
  </si>
  <si>
    <t>EVASKRJA6</t>
  </si>
  <si>
    <t>santosh.kumar1@evalueserve.com</t>
  </si>
  <si>
    <t>Rohith Katta</t>
  </si>
  <si>
    <t>EVARKEYZ3</t>
  </si>
  <si>
    <t>katta.rohith@evalueserve.com</t>
  </si>
  <si>
    <t>Mohit Mehra</t>
  </si>
  <si>
    <t>EVAMMEME9</t>
  </si>
  <si>
    <t>mohit.mehra@evalueserve.com</t>
  </si>
  <si>
    <t>EVARBBYQ9</t>
  </si>
  <si>
    <t>r.venkatakrishnan@evalueserve.com</t>
  </si>
  <si>
    <t>Snehasish Biswas</t>
  </si>
  <si>
    <t>EVASBUNH5</t>
  </si>
  <si>
    <t>snehasish.biswas@evalueserve.com</t>
  </si>
  <si>
    <t>EVAKSLJK6</t>
  </si>
  <si>
    <t>kumar.shiveshwar@evalueserve.com</t>
  </si>
  <si>
    <t>EVARSDPD5</t>
  </si>
  <si>
    <t>richard.saaveda@evalueserve.com</t>
  </si>
  <si>
    <t>EVAMRCEF2</t>
  </si>
  <si>
    <t>maria.ramirez@evalueserve.com</t>
  </si>
  <si>
    <t>lorena canete</t>
  </si>
  <si>
    <t>EVALCCHR5</t>
  </si>
  <si>
    <t>lorena.canete@evalueserve.com</t>
  </si>
  <si>
    <t>EVADFKZH6</t>
  </si>
  <si>
    <t>daniel.fuentes@evalueserve.com</t>
  </si>
  <si>
    <t>EVATFGSO5</t>
  </si>
  <si>
    <t>tomas.fernandez@evalueserve.com</t>
  </si>
  <si>
    <t>EVASPLET9</t>
  </si>
  <si>
    <t>sebastian.palominos@evalueserve.com</t>
  </si>
  <si>
    <t>EVAMSJFP1</t>
  </si>
  <si>
    <t>mikhail.sidyakov@evalueserve.com</t>
  </si>
  <si>
    <t>EVADGKDA0</t>
  </si>
  <si>
    <t>daniel.gatica@evalueserve.com</t>
  </si>
  <si>
    <t>EVAOPWCD0</t>
  </si>
  <si>
    <t>oliver.pozo1@evalueserve.com</t>
  </si>
  <si>
    <t>EVAMGABC7</t>
  </si>
  <si>
    <t>duwage.gunasekara@evalueserve.com</t>
  </si>
  <si>
    <t>EVACLPMX6</t>
  </si>
  <si>
    <t>carlos.llinas@evalueserve.com</t>
  </si>
  <si>
    <t>Meredith Robinson</t>
  </si>
  <si>
    <t>EVAMRMPO8</t>
  </si>
  <si>
    <t>meredith.robinson@evalueserve.com</t>
  </si>
  <si>
    <t>EVABTEEC0</t>
  </si>
  <si>
    <t>brayan.triana@evalueserve.com</t>
  </si>
  <si>
    <t>EVAPSWPD8</t>
  </si>
  <si>
    <t>pablo.saravia@evalueserve.com</t>
  </si>
  <si>
    <t>Eddie Liang</t>
  </si>
  <si>
    <t>EVAELAQG6</t>
  </si>
  <si>
    <t>eddie.liang@evalueserve.com</t>
  </si>
  <si>
    <t>EVASDXHN1</t>
  </si>
  <si>
    <t>soniya.deshpande1@evalueserve.com</t>
  </si>
  <si>
    <t>EVAAJWEF7</t>
  </si>
  <si>
    <t>abhinandan.jamwal@evalueserve.com</t>
  </si>
  <si>
    <t>EVAPKSGU8</t>
  </si>
  <si>
    <t>polina.kotina@evalueserve.com</t>
  </si>
  <si>
    <t>EVAJNMDX0</t>
  </si>
  <si>
    <t>jatin.narula@evalueserve.com</t>
  </si>
  <si>
    <t>EVAKSPGE5</t>
  </si>
  <si>
    <t>kelly.sparks@evalueserve.com</t>
  </si>
  <si>
    <t>jorge orrego</t>
  </si>
  <si>
    <t>EVAJOGHE1</t>
  </si>
  <si>
    <t>jorge.orrego@evalueserve.com</t>
  </si>
  <si>
    <t>EVAFAGHY9</t>
  </si>
  <si>
    <t>fernando.arcaya@evalueserve.com</t>
  </si>
  <si>
    <t>EVACBEAQ6</t>
  </si>
  <si>
    <t>cristian.brauchy@evalueserve.com</t>
  </si>
  <si>
    <t>EVABRCXG9</t>
  </si>
  <si>
    <t>bruno.rodriguez@evalueserve.com</t>
  </si>
  <si>
    <t>Manik Bansal</t>
  </si>
  <si>
    <t>EVAMBHXF0</t>
  </si>
  <si>
    <t>manik.bansal@evalueserve.com</t>
  </si>
  <si>
    <t>Felipe Duve</t>
  </si>
  <si>
    <t>EVAFDHLS4</t>
  </si>
  <si>
    <t>felipe.duve@evalueserve.com</t>
  </si>
  <si>
    <t>Rashmi Singh</t>
  </si>
  <si>
    <t>EVARSUIB2</t>
  </si>
  <si>
    <t>rashmi.singh1@evalueserve.com</t>
  </si>
  <si>
    <t>Rohan Ture</t>
  </si>
  <si>
    <t>EVARTSNS2</t>
  </si>
  <si>
    <t>rohan.ture@evalueserve.com</t>
  </si>
  <si>
    <t>Vicente Wohl</t>
  </si>
  <si>
    <t>EVAVWPAD3</t>
  </si>
  <si>
    <t>vicente.wohl@evalueserve.com</t>
  </si>
  <si>
    <t>EVAFEAAK8</t>
  </si>
  <si>
    <t>fernando.espinoza@evalueserve.com</t>
  </si>
  <si>
    <t>Devanish Sahoo</t>
  </si>
  <si>
    <t>EVADSUHL4</t>
  </si>
  <si>
    <t>devanish.sahoo@evalueserve.com</t>
  </si>
  <si>
    <t>AMAN MISHRA</t>
  </si>
  <si>
    <t>EVAAMJER0</t>
  </si>
  <si>
    <t>aman.mishra@evalueserve.com</t>
  </si>
  <si>
    <t>Atul Upadhyay</t>
  </si>
  <si>
    <t>EVAAUSVR0</t>
  </si>
  <si>
    <t>atul.upadhyay@evalueserve.com</t>
  </si>
  <si>
    <t>Shalabh Jain</t>
  </si>
  <si>
    <t>EVASJSWE2</t>
  </si>
  <si>
    <t>shalabh.jain@evalueserve.com</t>
  </si>
  <si>
    <t>Manmeet Singh</t>
  </si>
  <si>
    <t>EVAMSTUG6</t>
  </si>
  <si>
    <t>manmeet.singh@evalueserve.com</t>
  </si>
  <si>
    <t>Mayank Singla</t>
  </si>
  <si>
    <t>EVAMSAJK5</t>
  </si>
  <si>
    <t>mayank.singla@evalueserve.com</t>
  </si>
  <si>
    <t>Rishi singh</t>
  </si>
  <si>
    <t>EVARSAHQ1</t>
  </si>
  <si>
    <t>rishi.singh2@evalueserve.com</t>
  </si>
  <si>
    <t>Kartik Goyal</t>
  </si>
  <si>
    <t>EVAKGANS8</t>
  </si>
  <si>
    <t>kartik.goyal1@evalueserve.com</t>
  </si>
  <si>
    <t>EVAWPCUQ9</t>
  </si>
  <si>
    <t>walter.paredes@evalueserve.com</t>
  </si>
  <si>
    <t>EVALVVMX9</t>
  </si>
  <si>
    <t>luis.vilches@evalueserve.com</t>
  </si>
  <si>
    <t>Siddharth Singh</t>
  </si>
  <si>
    <t>EVASSLXL6</t>
  </si>
  <si>
    <t>siddharth.singh2@evalueserve.com</t>
  </si>
  <si>
    <t>Amit Srivastav</t>
  </si>
  <si>
    <t>EVAASUDY6</t>
  </si>
  <si>
    <t>amit.srivastav@evalueserve.com</t>
  </si>
  <si>
    <t>EVAJVCGS7</t>
  </si>
  <si>
    <t>julio.verdugo@evalueserve.com</t>
  </si>
  <si>
    <t>EVAGCMIW6</t>
  </si>
  <si>
    <t>gregory.casanova@evalueserve.com</t>
  </si>
  <si>
    <t>EVADHYYW8</t>
  </si>
  <si>
    <t>david.hernandez@evalueserve.com</t>
  </si>
  <si>
    <t>EVAIWQEB7</t>
  </si>
  <si>
    <t>igor.wilk@evalueserve.com</t>
  </si>
  <si>
    <t>EVAASMEX3</t>
  </si>
  <si>
    <t>apeksha.sharma@evalueserve.com</t>
  </si>
  <si>
    <t>EVARMITX7</t>
  </si>
  <si>
    <t>rodrigo.martinez@evalueserve.com</t>
  </si>
  <si>
    <t>EVAICEGA5</t>
  </si>
  <si>
    <t>ivo.carvallo@evalueserve.com</t>
  </si>
  <si>
    <t>EVAKGKJC6</t>
  </si>
  <si>
    <t>kanwarpreet.gaba@evalueserve.com</t>
  </si>
  <si>
    <t>Melissa Fort</t>
  </si>
  <si>
    <t>EVAMFSMT3</t>
  </si>
  <si>
    <t>melissa.gaddy@evalueserve.com</t>
  </si>
  <si>
    <t>Jesus Centeno</t>
  </si>
  <si>
    <t>EVAJCBLZ3</t>
  </si>
  <si>
    <t>jesus.centeno@evalueserve.com</t>
  </si>
  <si>
    <t>EVARKYDL5</t>
  </si>
  <si>
    <t>rimly.kar@evalueserve.com</t>
  </si>
  <si>
    <t>EVASYQPQ7</t>
  </si>
  <si>
    <t>shrestha.yadavilli@evalueserve.com</t>
  </si>
  <si>
    <t>EVAKSMLZ6</t>
  </si>
  <si>
    <t>kewal.shah@evalueserve.com</t>
  </si>
  <si>
    <t>EVACLQVO0</t>
  </si>
  <si>
    <t>`carlos.llinas@evalueserve.com</t>
  </si>
  <si>
    <t>EVAMPYBW9</t>
  </si>
  <si>
    <t>marcelo.pimentel@evalueserve.com</t>
  </si>
  <si>
    <t>EVARRKIL5</t>
  </si>
  <si>
    <t>ramandeep.rattan1@evalueserve.com</t>
  </si>
  <si>
    <t>EVAFODGT9</t>
  </si>
  <si>
    <t>fuad.onate@evalueserve.com</t>
  </si>
  <si>
    <t>EVASPTYJ2</t>
  </si>
  <si>
    <t>simant.priyadarshi@evalueserve.com</t>
  </si>
  <si>
    <t>EVANSTZF0</t>
  </si>
  <si>
    <t>nishant.saxena@evalueserve.com</t>
  </si>
  <si>
    <t>EVAMHWAR2</t>
  </si>
  <si>
    <t>matias.hernandez1@evalueserve.com</t>
  </si>
  <si>
    <t>EVABMZZN7</t>
  </si>
  <si>
    <t>brian.mackenzie@evalueserve.com</t>
  </si>
  <si>
    <t>EVAKNLAX4</t>
  </si>
  <si>
    <t>kaho.ng@evalueserve.com</t>
  </si>
  <si>
    <t>EVALSGEA7</t>
  </si>
  <si>
    <t>lawrence.setien@evalueserve.com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</si>
</sst>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Google Sans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44546A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pivotButton="1"/>
    <xf numFmtId="0" fontId="5" fillId="8" borderId="6" xfId="0" applyFont="1" applyFill="1" applyBorder="1" applyAlignment="1">
      <alignment horizontal="center"/>
    </xf>
    <xf numFmtId="0" fontId="0" fillId="0" borderId="6" xfId="0" applyBorder="1"/>
    <xf numFmtId="0" fontId="5" fillId="0" borderId="0" xfId="0" applyFont="1" applyAlignment="1">
      <alignment horizontal="right"/>
    </xf>
    <xf numFmtId="0" fontId="5" fillId="0" borderId="0" xfId="0" applyFont="1"/>
    <xf numFmtId="0" fontId="5" fillId="9" borderId="6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43.426234027778" createdVersion="8" refreshedVersion="8" minRefreshableVersion="3" recordCount="89" xr:uid="{0A0C47E2-D2AD-4D72-A9F0-9DD62BE0CEA0}">
  <cacheSource type="worksheet">
    <worksheetSource ref="A1:AM1048576" sheet="DA Summary"/>
  </cacheSource>
  <cacheFields count="39">
    <cacheField name="EMP ID" numFmtId="0">
      <sharedItems containsBlank="1"/>
    </cacheField>
    <cacheField name="Entity" numFmtId="0">
      <sharedItems containsBlank="1"/>
    </cacheField>
    <cacheField name="Employee Name" numFmtId="0">
      <sharedItems containsBlank="1" count="87">
        <s v="Abhinandan Singh Jamwal"/>
        <s v="Abhinav Chandna"/>
        <s v="Kumar Shiveshwar"/>
        <s v="Alvaro Flores"/>
        <s v="Amandeep Singh"/>
        <s v="Andres Felipe Lagos Ruiz"/>
        <s v="Ankit Pandey"/>
        <s v="Apeksha Sharma"/>
        <s v="Arnav Sharma"/>
        <s v="Arturo Pantoja"/>
        <s v="Benja Appel"/>
        <s v="Brayan Triana"/>
        <s v="Brian Mackenzie"/>
        <s v="Bruno Rodríguez"/>
        <s v="Camila Da Silveira"/>
        <s v="Carlos Fuensalida"/>
        <s v="Carlos Llinas"/>
        <s v="Carolina Aspee"/>
        <s v="Celia Riquelme"/>
        <s v="Christiane Marie Liliane Fortin"/>
        <s v="Clinton Pillsbury"/>
        <s v="Cristian Brauchy"/>
        <s v="Daniel Fuentes"/>
        <s v="Daniel Gatica"/>
        <s v="Daniela Poblete"/>
        <s v="Daniela Soto"/>
        <s v="David Hernandez"/>
        <s v="Diego Cordova"/>
        <s v="Diego Hevia"/>
        <s v="Mihidum Gunasekara"/>
        <s v="Eduardo Farias"/>
        <s v="Esteban Torres"/>
        <s v="Fabiana Alvarado"/>
        <s v="Felipe Espinoza"/>
        <s v="Fernando Arcaya"/>
        <s v="Fernando Espinoza"/>
        <s v="Francisca Schalchli"/>
        <s v="Francisco Lillo"/>
        <s v="Fuad Onate"/>
        <s v="Gabriel Gajardo"/>
        <s v="Gregory Casanova"/>
        <s v="Igor Wilk"/>
        <s v="Ivo Carvallo"/>
        <s v="Jatin Narula"/>
        <s v="Jedidiah Samuel Chung"/>
        <s v="Joao Ferraz Villela"/>
        <s v="Jordi Silva Muñoz"/>
        <s v="Jorge Orrego"/>
        <s v="Jorge Ponce"/>
        <s v="Julio Verdugo"/>
        <s v="Ka Ho Ng"/>
        <s v="Kanwarpreet Gaba"/>
        <s v="Kelly Sparks"/>
        <s v="Kevin Aballay"/>
        <s v="Kewal Shah"/>
        <s v="Lawrence Setien"/>
        <s v="Lorena Canete"/>
        <s v="Luis Vilches"/>
        <s v="Marcelo Pimentel"/>
        <s v="Maria Ines Ramirez"/>
        <s v="Matias Hernandez"/>
        <s v="Mikhail Sidyakov"/>
        <s v="Neptali Vasquez Baxman"/>
        <s v="Nicole Carvajal"/>
        <s v="Nishant Saxena"/>
        <s v="Nithin Narayanan"/>
        <s v="Oliver Pozo"/>
        <s v="Orlando Patino"/>
        <s v="Pablo Saravia"/>
        <s v="Polina Kotina"/>
        <s v="Raman Bangalore Venkatakrishnan"/>
        <s v="RAMANDEEP RATTAN"/>
        <s v="Richard Saavedra"/>
        <s v="Rimly Kar"/>
        <s v="Ritimayee Sahu"/>
        <s v="Rodrigo Martinez"/>
        <s v="Sebastian Palominos"/>
        <s v="Shrestha Sai Laxmi Yadavilli"/>
        <s v="Sidharth Choubey"/>
        <s v="Simant Priyadarshi"/>
        <s v="Soniya Deshpande"/>
        <s v="Tomas Fernandez"/>
        <s v="Tomy Ciociola"/>
        <s v="Venkatesh Coimbatore Kannan"/>
        <s v="Victor Bustos"/>
        <s v="Walter Paredes"/>
        <m/>
      </sharedItems>
    </cacheField>
    <cacheField name="Designation" numFmtId="0">
      <sharedItems containsBlank="1"/>
    </cacheField>
    <cacheField name="Level" numFmtId="0">
      <sharedItems containsBlank="1"/>
    </cacheField>
    <cacheField name="RM Name" numFmtId="0">
      <sharedItems containsBlank="1"/>
    </cacheField>
    <cacheField name="LOB" numFmtId="0">
      <sharedItems containsBlank="1"/>
    </cacheField>
    <cacheField name="Sub Lob" numFmtId="0">
      <sharedItems containsBlank="1"/>
    </cacheField>
    <cacheField name="Category" numFmtId="0">
      <sharedItems containsBlank="1"/>
    </cacheField>
    <cacheField name="ROLE" numFmtId="0">
      <sharedItems containsBlank="1"/>
    </cacheField>
    <cacheField name="Practice" numFmtId="0">
      <sharedItems containsBlank="1"/>
    </cacheField>
    <cacheField name="Practice Leader" numFmtId="0">
      <sharedItems containsBlank="1"/>
    </cacheField>
    <cacheField name="Certificate mapping" numFmtId="0">
      <sharedItems containsBlank="1"/>
    </cacheField>
    <cacheField name="BigQuery" numFmtId="0">
      <sharedItems containsBlank="1" containsMixedTypes="1" containsNumber="1" containsInteger="1" minValue="0" maxValue="44"/>
    </cacheField>
    <cacheField name="Looker" numFmtId="0">
      <sharedItems containsBlank="1" containsMixedTypes="1" containsNumber="1" containsInteger="1" minValue="0" maxValue="19"/>
    </cacheField>
    <cacheField name="Dataflow" numFmtId="0">
      <sharedItems containsBlank="1" containsMixedTypes="1" containsNumber="1" containsInteger="1" minValue="0" maxValue="39"/>
    </cacheField>
    <cacheField name="Dataproc" numFmtId="0">
      <sharedItems containsBlank="1" containsMixedTypes="1" containsNumber="1" containsInteger="1" minValue="0" maxValue="29"/>
    </cacheField>
    <cacheField name="GKE" numFmtId="0">
      <sharedItems containsBlank="1" containsMixedTypes="1" containsNumber="1" containsInteger="1" minValue="0" maxValue="39"/>
    </cacheField>
    <cacheField name="Apigee" numFmtId="0">
      <sharedItems containsBlank="1" containsMixedTypes="1" containsNumber="1" containsInteger="1" minValue="0" maxValue="19"/>
    </cacheField>
    <cacheField name="Cloud Run" numFmtId="0">
      <sharedItems containsBlank="1" containsMixedTypes="1" containsNumber="1" containsInteger="1" minValue="0" maxValue="44"/>
    </cacheField>
    <cacheField name="Workspace" numFmtId="0">
      <sharedItems containsBlank="1" containsMixedTypes="1" containsNumber="1" containsInteger="1" minValue="0" maxValue="5"/>
    </cacheField>
    <cacheField name="Cloud SQL" numFmtId="0">
      <sharedItems containsBlank="1" containsMixedTypes="1" containsNumber="1" containsInteger="1" minValue="0" maxValue="19"/>
    </cacheField>
    <cacheField name="AlloyDB" numFmtId="0">
      <sharedItems containsBlank="1" containsMixedTypes="1" containsNumber="1" containsInteger="1" minValue="0" maxValue="29"/>
    </cacheField>
    <cacheField name="Spanner" numFmtId="0">
      <sharedItems containsBlank="1" containsMixedTypes="1" containsNumber="1" containsInteger="1" minValue="0" maxValue="24"/>
    </cacheField>
    <cacheField name="Oracle" numFmtId="0">
      <sharedItems containsBlank="1" containsMixedTypes="1" containsNumber="1" containsInteger="1" minValue="0" maxValue="19"/>
    </cacheField>
    <cacheField name="GCE" numFmtId="0">
      <sharedItems containsBlank="1" containsMixedTypes="1" containsNumber="1" containsInteger="1" minValue="0" maxValue="34"/>
    </cacheField>
    <cacheField name="GCN" numFmtId="0">
      <sharedItems containsBlank="1" containsMixedTypes="1" containsNumber="1" containsInteger="1" minValue="0" maxValue="34"/>
    </cacheField>
    <cacheField name="SAP" numFmtId="0">
      <sharedItems containsBlank="1" containsMixedTypes="1" containsNumber="1" containsInteger="1" minValue="0" maxValue="24"/>
    </cacheField>
    <cacheField name="VMware" numFmtId="0">
      <sharedItems containsBlank="1" containsMixedTypes="1" containsNumber="1" containsInteger="1" minValue="0" maxValue="19"/>
    </cacheField>
    <cacheField name="GDC" numFmtId="0">
      <sharedItems containsBlank="1" containsMixedTypes="1" containsNumber="1" containsInteger="1" minValue="0" maxValue="24"/>
    </cacheField>
    <cacheField name="Cloud Sec." numFmtId="0">
      <sharedItems containsBlank="1" containsMixedTypes="1" containsNumber="1" containsInteger="1" minValue="0" maxValue="19"/>
    </cacheField>
    <cacheField name="SCC" numFmtId="0">
      <sharedItems containsBlank="1" containsMixedTypes="1" containsNumber="1" containsInteger="1" minValue="0" maxValue="0"/>
    </cacheField>
    <cacheField name="SecOps" numFmtId="0">
      <sharedItems containsBlank="1" containsMixedTypes="1" containsNumber="1" containsInteger="1" minValue="0" maxValue="0"/>
    </cacheField>
    <cacheField name="GTI" numFmtId="0">
      <sharedItems containsBlank="1" containsMixedTypes="1" containsNumber="1" containsInteger="1" minValue="0" maxValue="0"/>
    </cacheField>
    <cacheField name="Vertex AI" numFmtId="0">
      <sharedItems containsBlank="1" containsMixedTypes="1" containsNumber="1" containsInteger="1" minValue="0" maxValue="49"/>
    </cacheField>
    <cacheField name="AI App" numFmtId="0">
      <sharedItems containsBlank="1" containsMixedTypes="1" containsNumber="1" containsInteger="1" minValue="0" maxValue="44"/>
    </cacheField>
    <cacheField name="Gemini" numFmtId="0">
      <sharedItems containsBlank="1" containsMixedTypes="1" containsNumber="1" containsInteger="1" minValue="0" maxValue="24"/>
    </cacheField>
    <cacheField name="CES" numFmtId="0">
      <sharedItems containsBlank="1" containsMixedTypes="1" containsNumber="1" containsInteger="1" minValue="0" maxValue="19"/>
    </cacheField>
    <cacheField name="Grand Total" numFmtId="0">
      <sharedItems containsBlank="1" containsMixedTypes="1" containsNumber="1" containsInteger="1" minValue="0" maxValue="3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AN-20796"/>
    <s v="CAN"/>
    <x v="0"/>
    <s v="Consultant"/>
    <s v="L4"/>
    <s v="Nishant Saxena "/>
    <s v="CIDA-05"/>
    <s v="CIDA-05-3"/>
    <s v="Ops"/>
    <s v="BI Developer"/>
    <s v="DM"/>
    <s v="Nishant Saxena 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-23494"/>
    <s v="CAN"/>
    <x v="1"/>
    <s v="Senior Consultant"/>
    <s v="L5"/>
    <s v="Venkatesh Kannan "/>
    <s v="CIDA-05"/>
    <s v="CIDA-05-1"/>
    <s v="Ops"/>
    <s v="Data Engineer"/>
    <s v="DE"/>
    <s v="Venkatesh Coimbatore Kannan"/>
    <m/>
    <n v="34"/>
    <n v="14"/>
    <n v="39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0"/>
    <n v="0"/>
    <n v="125"/>
  </r>
  <r>
    <s v="INC-24352"/>
    <s v="INC"/>
    <x v="2"/>
    <s v="Junior Analyst"/>
    <s v="L1"/>
    <s v="Duwage Gunasekara "/>
    <s v="CIDA-05"/>
    <s v="CIDA-05-2"/>
    <s v="Ops"/>
    <s v="Data Scientist"/>
    <s v="DS"/>
    <s v="Rajat Singh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9082"/>
    <s v="CHI"/>
    <x v="3"/>
    <s v="Senior Consultant"/>
    <s v="L5"/>
    <s v="Daniel Gatica "/>
    <s v="CIDA-01"/>
    <s v="CIDA-01-1"/>
    <s v="Ops"/>
    <s v="Data Engine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4611"/>
    <s v="CHI"/>
    <x v="4"/>
    <s v="Principal Consultant"/>
    <s v="L6"/>
    <s v="Walter Paredes "/>
    <s v="CIDA-01"/>
    <s v="CIDA-01-6"/>
    <s v="Ops"/>
    <s v="ML Engineer"/>
    <s v="SD"/>
    <s v="Walter Paredes"/>
    <s v="Professional Cloud DevOps Engineer"/>
    <n v="24"/>
    <n v="0"/>
    <n v="19"/>
    <n v="0"/>
    <n v="39"/>
    <n v="19"/>
    <n v="44"/>
    <n v="0"/>
    <n v="14"/>
    <n v="0"/>
    <n v="0"/>
    <n v="0"/>
    <n v="24"/>
    <n v="34"/>
    <n v="0"/>
    <n v="0"/>
    <n v="0"/>
    <n v="19"/>
    <n v="0"/>
    <n v="0"/>
    <n v="0"/>
    <n v="49"/>
    <n v="44"/>
    <n v="24"/>
    <n v="19"/>
    <n v="372"/>
  </r>
  <r>
    <s v="COL-21961"/>
    <s v="COL"/>
    <x v="5"/>
    <s v="Senior Analyst"/>
    <s v="L3"/>
    <s v="Lawrence Setien "/>
    <s v="CIDA-01"/>
    <s v="CIDA-01-1"/>
    <s v="Ops"/>
    <s v="Data Engineer"/>
    <s v="DE"/>
    <s v="Venkatesh Coimbatore Kannan"/>
    <m/>
    <n v="29"/>
    <n v="19"/>
    <n v="19"/>
    <n v="19"/>
    <n v="19"/>
    <n v="0"/>
    <n v="0"/>
    <n v="0"/>
    <n v="19"/>
    <n v="29"/>
    <n v="24"/>
    <n v="19"/>
    <n v="34"/>
    <n v="29"/>
    <n v="19"/>
    <n v="19"/>
    <n v="24"/>
    <n v="0"/>
    <n v="0"/>
    <n v="0"/>
    <n v="0"/>
    <n v="0"/>
    <n v="19"/>
    <n v="14"/>
    <n v="0"/>
    <n v="354"/>
  </r>
  <r>
    <s v="INC-16832"/>
    <s v="INC"/>
    <x v="6"/>
    <s v="Associate Director"/>
    <s v="L7"/>
    <s v="Rajat Singh "/>
    <s v="CIDA-01"/>
    <s v="CIDA-01-2"/>
    <s v="Ops"/>
    <s v="Data Scientist"/>
    <s v="DS"/>
    <s v="Arnav Sharma"/>
    <m/>
    <n v="34"/>
    <n v="19"/>
    <n v="3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19"/>
    <n v="19"/>
    <n v="19"/>
    <n v="217"/>
  </r>
  <r>
    <s v="INC-17749"/>
    <s v="INC"/>
    <x v="7"/>
    <s v="Consultant"/>
    <s v="L4"/>
    <s v="Raman Bangalore Venkatakr "/>
    <s v="CIDA-05"/>
    <s v="CIDA-05-4"/>
    <s v="Ops"/>
    <s v="Data Engineer"/>
    <s v="BI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13370"/>
    <s v="INC"/>
    <x v="8"/>
    <s v="Principal Consultant"/>
    <s v="L6"/>
    <s v="Rajat Singh "/>
    <s v="CIDA-01"/>
    <s v="CIDA-01-2"/>
    <s v="Ops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10"/>
  </r>
  <r>
    <s v="CHI-19693"/>
    <s v="CHI"/>
    <x v="9"/>
    <s v="Analyst"/>
    <s v="L2"/>
    <s v="Brian Mackenzie "/>
    <s v="CIDA-01"/>
    <s v="CIDA-01-1"/>
    <s v="Ops"/>
    <s v="Data Engine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/A"/>
    <e v="#N/A"/>
  </r>
  <r>
    <s v="CHI-15605"/>
    <s v="CHI"/>
    <x v="10"/>
    <s v="Senior Engineer"/>
    <s v="L3"/>
    <s v="Orlando Patino "/>
    <s v="CIDA-01"/>
    <s v="CIDA-01-6"/>
    <s v="Ops"/>
    <s v="Full Stack Developer"/>
    <s v="SD"/>
    <s v="Walter Paredes"/>
    <s v="Professional Cloud DevOps Engineer"/>
    <n v="0"/>
    <n v="0"/>
    <n v="0"/>
    <n v="0"/>
    <n v="0"/>
    <n v="0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18"/>
  </r>
  <r>
    <s v="COL-21960"/>
    <s v="COL"/>
    <x v="11"/>
    <s v="Senior Analyst"/>
    <s v="L3"/>
    <s v="Marcelo Pimentel "/>
    <s v="CIDA-01"/>
    <s v="CIDA-01-1"/>
    <s v="Ops"/>
    <s v="Data Engineer"/>
    <s v="DE"/>
    <s v="Venkatesh Coimbatore Kannan"/>
    <m/>
    <n v="18"/>
    <n v="0"/>
    <n v="1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</r>
  <r>
    <s v="CHI-18242"/>
    <s v="CHI"/>
    <x v="12"/>
    <s v="Senior Consultant"/>
    <s v="L5"/>
    <s v="Diego Cordov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6338"/>
    <s v="CHI"/>
    <x v="13"/>
    <s v="Senior Engineer"/>
    <s v="L3"/>
    <s v="Maria Ramirez "/>
    <s v="CIDA-01"/>
    <s v="CIDA-01-6"/>
    <s v="Ops"/>
    <s v="Full Stack Developer"/>
    <s v="SD"/>
    <s v="Walter Paredes"/>
    <s v="Professional Cloud Developer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CAN-21345"/>
    <s v="CAN"/>
    <x v="14"/>
    <s v="Consultant"/>
    <s v="L4"/>
    <s v="Venkatesh Kannan "/>
    <s v="CIDA-05"/>
    <s v="CIDA-05-1"/>
    <s v="Ops"/>
    <s v="Data Engineer"/>
    <s v="DE"/>
    <s v="Venkatesh Coimbatore Kannan"/>
    <m/>
    <n v="0"/>
    <n v="14"/>
    <n v="0"/>
    <n v="0"/>
    <n v="0"/>
    <n v="0"/>
    <n v="0"/>
    <n v="0"/>
    <n v="0"/>
    <n v="0"/>
    <n v="0"/>
    <n v="0"/>
    <n v="14"/>
    <n v="0"/>
    <n v="14"/>
    <n v="14"/>
    <n v="14"/>
    <n v="0"/>
    <n v="0"/>
    <n v="0"/>
    <n v="0"/>
    <n v="0"/>
    <n v="0"/>
    <n v="0"/>
    <n v="0"/>
    <n v="70"/>
  </r>
  <r>
    <s v="CHI-17853"/>
    <s v="CHI"/>
    <x v="15"/>
    <s v="Senior Consultant"/>
    <s v="L5"/>
    <s v="Kelly Sparks "/>
    <s v="CIDA-01"/>
    <s v="CIDA-01-6"/>
    <s v="Ops"/>
    <s v="DevOps Engineer"/>
    <s v="SD"/>
    <s v="Walter Paredes"/>
    <s v="Professional Cloud DevOps Engine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-21963"/>
    <s v="COL"/>
    <x v="16"/>
    <s v="Senior Consultant"/>
    <s v="L5"/>
    <s v="Jorge Ponce "/>
    <s v="CIDA-01"/>
    <s v="CIDA-01-6"/>
    <s v="Ops"/>
    <s v="Project Manager"/>
    <s v="SD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4952"/>
    <s v="CHI"/>
    <x v="17"/>
    <s v="Senior Analyst"/>
    <s v="L3"/>
    <s v="Brian Mackenzie "/>
    <s v="CIDA-01"/>
    <s v="CIDA-01-4"/>
    <s v="Ops"/>
    <s v="BI Developer"/>
    <s v="DE"/>
    <s v="Venkatesh Coimbatore Kannan"/>
    <m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</r>
  <r>
    <s v="CHI-17264"/>
    <s v="CHI"/>
    <x v="18"/>
    <s v="Senior Analyst"/>
    <s v="L3"/>
    <s v="Julio Verdugo "/>
    <s v="CIDA-01"/>
    <s v="CIDA-01-4"/>
    <s v="Ops"/>
    <s v="BI Developer"/>
    <s v="BI"/>
    <s v="Walter Paredes"/>
    <m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</r>
  <r>
    <s v="INC-23760"/>
    <s v="INC"/>
    <x v="19"/>
    <s v="Consultant"/>
    <s v="L4"/>
    <s v="Kelly Sparks "/>
    <s v="CIDA-05"/>
    <s v="CIDA-05-6"/>
    <s v="Ops"/>
    <s v="Business Systems Analyst"/>
    <s v="SD"/>
    <s v="Walter Paredes"/>
    <m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</r>
  <r>
    <s v="INC-18931"/>
    <s v="INC"/>
    <x v="20"/>
    <s v="Associate Director"/>
    <s v="L7"/>
    <s v="Walter Paredes "/>
    <s v="CIDA-05"/>
    <s v="CIDA-05-6"/>
    <s v="Ops"/>
    <s v="Full Stack Developer"/>
    <s v="SD"/>
    <s v="Walter Paredes"/>
    <s v="Machine Learning Engine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7685"/>
    <s v="CHI"/>
    <x v="21"/>
    <s v="Senior Analyst"/>
    <s v="L3"/>
    <s v="Gabriel Gajardo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/A"/>
    <e v="#N/A"/>
  </r>
  <r>
    <s v="CHI-11452"/>
    <s v="CHI"/>
    <x v="22"/>
    <s v="Consultant"/>
    <s v="L4"/>
    <s v="Raman Bangalore Venkatakr "/>
    <s v="CIDA-01"/>
    <s v="CIDA-01-4"/>
    <s v="Ops"/>
    <s v="BI Developer"/>
    <s v="BI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1639"/>
    <s v="CHI"/>
    <x v="23"/>
    <s v="Principal Consultant"/>
    <s v="L6"/>
    <s v="Venkatesh Kannan "/>
    <s v="CIDA-01"/>
    <s v="CIDA-01-1"/>
    <s v="Ops"/>
    <s v="Data Engine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6523"/>
    <s v="CHI"/>
    <x v="24"/>
    <s v="Consultant"/>
    <s v="L4"/>
    <s v="Jorge Ponce "/>
    <s v="CIDA-01"/>
    <s v="CIDA-01-6"/>
    <s v="Ops"/>
    <s v="Project Manager"/>
    <s v="SD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3106"/>
    <s v="CHI"/>
    <x v="25"/>
    <s v="Senior Consultant"/>
    <s v="L5"/>
    <s v="Julio Verdugo "/>
    <s v="CIDA-01"/>
    <s v="CIDA-01-4"/>
    <s v="Ops"/>
    <s v="BI Developer"/>
    <s v="BI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8680"/>
    <s v="CHI"/>
    <x v="26"/>
    <s v="Senior Consultant"/>
    <s v="L5"/>
    <s v="Walter Paredes "/>
    <s v="CIDA-01"/>
    <s v="CIDA-01-6"/>
    <s v="Ops"/>
    <s v="UI/UX Designer"/>
    <s v="SD"/>
    <s v="Walter Paredes"/>
    <s v="No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0765"/>
    <s v="CHI"/>
    <x v="27"/>
    <s v="Principal Consultant"/>
    <s v="L6"/>
    <s v="Venkatesh Kannan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5485"/>
    <s v="CHI"/>
    <x v="28"/>
    <s v="Senior Analyst"/>
    <s v="L3"/>
    <s v="Julio Verdugo "/>
    <s v="CIDA-01"/>
    <s v="CIDA-01-4"/>
    <s v="Ops"/>
    <s v="BI Developer"/>
    <s v="BI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18223"/>
    <s v="INC"/>
    <x v="29"/>
    <s v="Principal Consultant"/>
    <s v="L6"/>
    <s v="Arnav Sharma "/>
    <s v="CIDA-05"/>
    <s v="CIDA-05-2"/>
    <s v="Ops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21705"/>
    <s v="CHI"/>
    <x v="30"/>
    <s v="Senior Analyst"/>
    <s v="L3"/>
    <s v="Brian Mackenzie "/>
    <s v="CIDA-01"/>
    <s v="CIDA-01-1"/>
    <s v="Ops"/>
    <s v="BI Developer"/>
    <s v="DE"/>
    <s v="Venkatesh Coimbatore Kannan"/>
    <m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</r>
  <r>
    <s v="CHI-8009"/>
    <s v="CHI"/>
    <x v="31"/>
    <s v="Principal Consultant"/>
    <s v="L6"/>
    <s v="Raman Bangalore Venkatakr "/>
    <s v="CIDA-01"/>
    <s v="CIDA-01-4"/>
    <s v="Ops"/>
    <s v="BI Developer"/>
    <s v="BI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-23630"/>
    <s v="COL"/>
    <x v="32"/>
    <s v="Senior Analyst"/>
    <s v="L3"/>
    <s v="David Hernandez "/>
    <s v="CIDA-01"/>
    <s v="CIDA-01-6"/>
    <s v="Ops"/>
    <s v="UI/UX Designer"/>
    <s v="SD"/>
    <s v="Walter Paredes"/>
    <s v="No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21131"/>
    <s v="CHI"/>
    <x v="33"/>
    <s v="Consultant"/>
    <s v="L4"/>
    <s v="Raman Bangalore Venkatakr "/>
    <s v="CIDA-01"/>
    <s v="CIDA-01-4"/>
    <s v="Ops"/>
    <s v="BI Developer"/>
    <s v="BI"/>
    <s v="Walter Paredes"/>
    <m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</r>
  <r>
    <s v="CHI-14901"/>
    <s v="CHI"/>
    <x v="34"/>
    <s v="Senior Analyst"/>
    <s v="L3"/>
    <s v="Tomy Ciociol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/A"/>
    <e v="#N/A"/>
  </r>
  <r>
    <s v="CHI-15654"/>
    <s v="CHI"/>
    <x v="35"/>
    <s v="Senior Analyst"/>
    <s v="L3"/>
    <s v="Lawrence Setien "/>
    <s v="CIDA-01"/>
    <s v="CIDA-01-1"/>
    <s v="Ops"/>
    <s v="Data Engineer"/>
    <s v="DE"/>
    <s v="Venkatesh Coimbatore Kannan"/>
    <m/>
    <n v="20"/>
    <n v="0"/>
    <n v="2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60"/>
  </r>
  <r>
    <s v="CHI-16395"/>
    <s v="CHI"/>
    <x v="36"/>
    <s v="Senior Analyst"/>
    <s v="L3"/>
    <s v="Diego Cordov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/A"/>
    <e v="#N/A"/>
  </r>
  <r>
    <s v="CHI-10770"/>
    <s v="CHI"/>
    <x v="37"/>
    <s v="Senior Consultant"/>
    <s v="L5"/>
    <s v="Daniel Gatica "/>
    <s v="CIDA-01"/>
    <s v="CIDA-01-1"/>
    <s v="Ops"/>
    <s v="Digital analyst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8925"/>
    <s v="CHI"/>
    <x v="38"/>
    <s v="Senior Analyst"/>
    <s v="L3"/>
    <s v="Marcelo Pimentel "/>
    <s v="CIDA-01"/>
    <s v="CIDA-01-1"/>
    <s v="Ops"/>
    <s v="Data Engineer"/>
    <s v="DE"/>
    <s v="Venkatesh Coimbatore Kannan"/>
    <m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</r>
  <r>
    <s v="CHI-13871"/>
    <s v="CHI"/>
    <x v="39"/>
    <s v="Senior Consultant"/>
    <s v="L5"/>
    <s v="Diego Cordov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20617"/>
    <s v="CHI"/>
    <x v="40"/>
    <s v="Engineer"/>
    <s v="L2"/>
    <s v="Orlando Patino "/>
    <s v="CIDA-01"/>
    <s v="CIDA-01-6"/>
    <s v="Ops"/>
    <s v="Full Stack Developer"/>
    <s v="SD"/>
    <s v="Walter Paredes"/>
    <s v="Professional Cloud Developer"/>
    <n v="0"/>
    <n v="0"/>
    <n v="0"/>
    <n v="0"/>
    <n v="10"/>
    <n v="0"/>
    <n v="2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35"/>
  </r>
  <r>
    <s v="CHI-21550"/>
    <s v="CHI"/>
    <x v="41"/>
    <s v="Senior Consultant"/>
    <s v="L5"/>
    <s v="Nishant Saxena "/>
    <s v="CIDA-01"/>
    <s v="CIDA-01-3"/>
    <s v="Ops"/>
    <s v="BI Developer"/>
    <s v="DM"/>
    <s v="Nishant Saxena "/>
    <m/>
    <n v="23"/>
    <n v="8"/>
    <n v="1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0"/>
    <n v="75"/>
  </r>
  <r>
    <s v="CHI-17262"/>
    <s v="CHI"/>
    <x v="42"/>
    <s v="Senior Analyst"/>
    <s v="L3"/>
    <s v="Esteban Torres "/>
    <s v="CIDA-01"/>
    <s v="CIDA-01-4"/>
    <s v="Ops"/>
    <s v="BI Developer"/>
    <s v="BI"/>
    <s v="Walter Paredes"/>
    <m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CAN-20911"/>
    <s v="CAN"/>
    <x v="43"/>
    <s v="Principal Consultant"/>
    <s v="L6"/>
    <s v="Nishant Saxena "/>
    <s v="CIDA-05"/>
    <s v="CIDA-05-3"/>
    <s v="Ops"/>
    <s v="Data Scientist"/>
    <s v="DM"/>
    <s v="Nishant Saxen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24353"/>
    <s v="INC"/>
    <x v="44"/>
    <s v="Junior Analyst"/>
    <s v="L1"/>
    <s v="Duwage Gunasekara "/>
    <s v="CIDA-05"/>
    <s v="CIDA-05-2"/>
    <s v="Ops"/>
    <s v="Data Scientist"/>
    <s v="DS"/>
    <s v="Rajat Singh"/>
    <m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</r>
  <r>
    <s v="CHI-22715"/>
    <s v="CHI"/>
    <x v="45"/>
    <s v="Senior Consultant"/>
    <s v="L5"/>
    <s v="Nishant Saxena "/>
    <s v="CIDA-01"/>
    <s v="CIDA-01-3"/>
    <s v="Ops"/>
    <s v="Digital analyst"/>
    <s v="DM"/>
    <s v="Nishant Saxena"/>
    <m/>
    <n v="5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25"/>
  </r>
  <r>
    <s v="CHI-21302"/>
    <s v="CHI"/>
    <x v="46"/>
    <s v="Analyst"/>
    <s v="L2"/>
    <s v="Diego Cordova "/>
    <s v="CIDA-01"/>
    <s v="CIDA-01-3"/>
    <s v="Ops"/>
    <s v="BI Developer"/>
    <s v="DM"/>
    <s v="Nishant Saxen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4991"/>
    <s v="CHI"/>
    <x v="47"/>
    <s v="Consultant"/>
    <s v="L4"/>
    <s v="Diego Cordov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/A"/>
    <e v="#N/A"/>
  </r>
  <r>
    <s v="CHI-12362"/>
    <s v="CHI"/>
    <x v="48"/>
    <s v="Principal Consultant"/>
    <s v="L6"/>
    <s v="Walter Paredes "/>
    <s v="CIDA-01"/>
    <s v="CIDA-01-6"/>
    <s v="Ops"/>
    <s v="Project Manager"/>
    <s v="SD"/>
    <s v="Walter Paredes"/>
    <s v="Cloud Digital Leader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</r>
  <r>
    <s v="CHI-9230"/>
    <s v="CHI"/>
    <x v="49"/>
    <s v="Principal Consultant"/>
    <s v="L6"/>
    <s v="Raman Bangalore Venkatakr "/>
    <s v="CIDA-01"/>
    <s v="CIDA-01-4"/>
    <s v="Ops"/>
    <s v="BI Developer"/>
    <s v="BI"/>
    <s v="Walter Paredes"/>
    <m/>
    <n v="10"/>
    <n v="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50"/>
  </r>
  <r>
    <s v="CAN-21882"/>
    <s v="CAN"/>
    <x v="50"/>
    <s v="Principal Consultant"/>
    <s v="L6"/>
    <s v="Kelly Sparks "/>
    <s v="CIDA-05"/>
    <s v="CIDA-05-6"/>
    <s v="Ops"/>
    <s v="DevOps Engineer"/>
    <s v="SD"/>
    <s v="Walter Paredes"/>
    <s v="Renewals"/>
    <n v="0"/>
    <n v="0"/>
    <n v="0"/>
    <n v="0"/>
    <n v="15"/>
    <n v="0"/>
    <n v="0"/>
    <n v="0"/>
    <n v="0"/>
    <n v="0"/>
    <n v="0"/>
    <n v="0"/>
    <n v="0"/>
    <n v="0"/>
    <n v="15"/>
    <n v="0"/>
    <n v="0"/>
    <n v="0"/>
    <n v="0"/>
    <n v="0"/>
    <n v="0"/>
    <n v="15"/>
    <n v="15"/>
    <n v="15"/>
    <n v="15"/>
    <n v="90"/>
  </r>
  <r>
    <s v="CAN-21140"/>
    <s v="CAN"/>
    <x v="51"/>
    <s v="Principal Consultant"/>
    <s v="L6"/>
    <s v="Nishant Saxena "/>
    <s v="CIDA-05"/>
    <s v="CIDA-05-3"/>
    <s v="Ops"/>
    <s v="Digital analyst"/>
    <s v="DM"/>
    <s v="Nishant Saxen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18041"/>
    <s v="INC"/>
    <x v="52"/>
    <s v="Associate Director"/>
    <s v="L7"/>
    <s v="Walter Paredes "/>
    <s v="CIDA-05"/>
    <s v="CIDA-05-6"/>
    <s v="Ops"/>
    <s v="DevOps Engineer"/>
    <s v="SD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/A"/>
    <e v="#N/A"/>
  </r>
  <r>
    <s v="CHI-14471"/>
    <s v="CHI"/>
    <x v="53"/>
    <s v="Lead Engineer"/>
    <s v="L4"/>
    <s v="Orlando Patino "/>
    <s v="CIDA-01"/>
    <s v="CIDA-01-6"/>
    <s v="Ops"/>
    <s v="Full Stack Developer"/>
    <s v="SD"/>
    <s v="Walter Paredes"/>
    <s v="Professional Cloud Develop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20916"/>
    <s v="INC"/>
    <x v="54"/>
    <s v="Senior Consultant"/>
    <s v="L5"/>
    <s v="Arnav Sharma "/>
    <s v="CIDA-09"/>
    <s v="CIDA-09-2"/>
    <s v="GCP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8392"/>
    <s v="CHI"/>
    <x v="55"/>
    <s v="Senior Analyst"/>
    <s v="L3"/>
    <s v="Daniel Gatica "/>
    <s v="CIDA-01"/>
    <s v="CIDA-01-1"/>
    <s v="Ops"/>
    <s v="Data Engine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8865"/>
    <s v="CHI"/>
    <x v="56"/>
    <s v="Senior Engineer"/>
    <s v="L3"/>
    <s v="Maria Ramirez "/>
    <s v="CIDA-01"/>
    <s v="CIDA-01-6"/>
    <s v="Ops"/>
    <s v="Full Stack Developer"/>
    <s v="SD"/>
    <s v="Walter Paredes"/>
    <s v="Professional Cloud Develop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22431"/>
    <s v="CHI"/>
    <x v="57"/>
    <s v="Engineer"/>
    <s v="L2"/>
    <s v="David Hernandez "/>
    <s v="CIDA-01"/>
    <s v="CIDA-01-6"/>
    <s v="Ops"/>
    <s v="Full Stack Developer"/>
    <s v="SD"/>
    <s v="Walter Paredes"/>
    <s v="Professional Cloud DevOps Engineer"/>
    <n v="0"/>
    <n v="0"/>
    <n v="0"/>
    <n v="0"/>
    <n v="20"/>
    <n v="10"/>
    <n v="3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70"/>
  </r>
  <r>
    <s v="CHI-21717"/>
    <s v="CHI"/>
    <x v="58"/>
    <s v="Consultant"/>
    <s v="L4"/>
    <s v="Daniel Gatica "/>
    <s v="CIDA-01"/>
    <s v="CIDA-01-1"/>
    <s v="Ops"/>
    <s v="Data Engine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2354"/>
    <s v="CHI"/>
    <x v="59"/>
    <s v="Senior Consultant"/>
    <s v="L5"/>
    <s v="Walter Paredes "/>
    <s v="CIDA-01"/>
    <s v="CIDA-01-6"/>
    <s v="Ops"/>
    <s v="Project Manager"/>
    <s v="SD"/>
    <s v="Walter Paredes"/>
    <s v="Cloud Digital Lead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23888"/>
    <s v="INC"/>
    <x v="60"/>
    <s v="Consultant"/>
    <s v="L4"/>
    <s v="Venkatesh Kannan "/>
    <s v="CIDA-05"/>
    <s v="CIDA-05-1"/>
    <s v="Ops"/>
    <s v="Functional Consultant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-23292"/>
    <s v="CAN"/>
    <x v="61"/>
    <s v="Principal Consultant"/>
    <s v="L6"/>
    <s v="Arnav Sharma "/>
    <s v="CIDA-05"/>
    <s v="CIDA-05-2"/>
    <s v="Ops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7847"/>
    <s v="CHI"/>
    <x v="62"/>
    <s v="Senior Engineer"/>
    <s v="L3"/>
    <s v="Maria Ramirez "/>
    <s v="CIDA-01"/>
    <s v="CIDA-01-6"/>
    <s v="Ops"/>
    <s v="Full Stack Developer"/>
    <s v="SD"/>
    <s v="Walter Paredes"/>
    <s v="Professional Cloud Developer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CHI-13097"/>
    <s v="CHI"/>
    <x v="63"/>
    <s v="Senior Consultant"/>
    <s v="L5"/>
    <s v="Diego Cordov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N-19682"/>
    <s v="CAN"/>
    <x v="64"/>
    <s v="Associate Director"/>
    <s v="L7"/>
    <s v="Rajat Singh "/>
    <s v="CIDA-05"/>
    <s v="CIDA-05-3"/>
    <s v="Ops"/>
    <s v="Digital analyst"/>
    <s v="DM"/>
    <s v="Nishant Saxen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12480"/>
    <s v="INC"/>
    <x v="65"/>
    <s v="Consultant"/>
    <s v="L4"/>
    <s v="Arnav Sharma "/>
    <s v="CIDA-01"/>
    <s v="CIDA-01-2"/>
    <s v="Ops"/>
    <s v="Data Scientist"/>
    <s v="DS"/>
    <s v="Arnav Sharma"/>
    <m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0"/>
    <n v="10"/>
    <n v="10"/>
    <n v="55"/>
  </r>
  <r>
    <s v="CHI-21536"/>
    <s v="CHI"/>
    <x v="66"/>
    <s v="Consultant"/>
    <s v="L4"/>
    <s v="Daniel Gatica "/>
    <s v="CIDA-01"/>
    <s v="CIDA-01-1"/>
    <s v="Ops"/>
    <s v="Data Engineer"/>
    <s v="DE"/>
    <s v="Venkatesh Coimbatore Kannan"/>
    <m/>
    <n v="9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</r>
  <r>
    <s v="CHI-20889"/>
    <s v="CHI"/>
    <x v="67"/>
    <s v="Senior Consultant"/>
    <s v="L5"/>
    <s v="Walter Paredes "/>
    <s v="CIDA-01"/>
    <s v="CIDA-01-6"/>
    <s v="Ops"/>
    <s v="Project Manager"/>
    <s v="SD"/>
    <s v="Walter Paredes"/>
    <s v="Generative AI Lead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1455"/>
    <s v="CHI"/>
    <x v="68"/>
    <s v="Senior Consultant"/>
    <s v="L5"/>
    <s v="Gabriel Gajardo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23379"/>
    <s v="INC"/>
    <x v="69"/>
    <s v="Principal Consultant"/>
    <s v="L6"/>
    <s v="Rajat Singh "/>
    <s v="CIDA-05"/>
    <s v="CIDA-05-2"/>
    <s v="Ops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16698"/>
    <s v="INC"/>
    <x v="70"/>
    <s v="Principal Consultant"/>
    <s v="L6"/>
    <s v="Walter Paredes "/>
    <s v="CIDA-05"/>
    <s v="CIDA-05-4"/>
    <s v="GCP"/>
    <s v="BI Developer"/>
    <s v="BI"/>
    <s v="Walter Paredes"/>
    <m/>
    <n v="14"/>
    <n v="0"/>
    <n v="0"/>
    <n v="14"/>
    <n v="0"/>
    <n v="0"/>
    <n v="0"/>
    <n v="0"/>
    <n v="0"/>
    <n v="0"/>
    <n v="0"/>
    <n v="0"/>
    <n v="0"/>
    <n v="24"/>
    <n v="0"/>
    <n v="0"/>
    <n v="0"/>
    <n v="0"/>
    <n v="0"/>
    <n v="0"/>
    <n v="0"/>
    <n v="29"/>
    <n v="14"/>
    <n v="14"/>
    <n v="14"/>
    <n v="123"/>
  </r>
  <r>
    <s v="CAN-17611"/>
    <s v="CAN"/>
    <x v="71"/>
    <s v="Principal Consultant"/>
    <s v="L6"/>
    <s v="Sidharth Choubey "/>
    <s v="CIDA-05"/>
    <s v="CIDA-05-4"/>
    <s v="Ops"/>
    <s v="BI Developer"/>
    <s v="BI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L-21964"/>
    <s v="COL"/>
    <x v="72"/>
    <s v="Lead Engineer"/>
    <s v="L4"/>
    <s v="Orlando Patino "/>
    <s v="CIDA-01"/>
    <s v="CIDA-01-6"/>
    <s v="Ops"/>
    <s v="Full Stack Developer"/>
    <s v="SD"/>
    <s v="Walter Paredes"/>
    <s v="Professional Cloud DevOps Engineer"/>
    <n v="0"/>
    <n v="0"/>
    <n v="0"/>
    <n v="0"/>
    <n v="39"/>
    <n v="19"/>
    <n v="39"/>
    <n v="0"/>
    <n v="14"/>
    <n v="0"/>
    <n v="0"/>
    <n v="0"/>
    <n v="29"/>
    <n v="29"/>
    <n v="0"/>
    <n v="0"/>
    <n v="0"/>
    <n v="14"/>
    <n v="0"/>
    <n v="0"/>
    <n v="0"/>
    <n v="0"/>
    <n v="0"/>
    <n v="0"/>
    <n v="0"/>
    <n v="183"/>
  </r>
  <r>
    <s v="CAN-21755"/>
    <s v="CAN"/>
    <x v="73"/>
    <s v="Consultant"/>
    <s v="L4"/>
    <s v="Arnav Sharma "/>
    <s v="CIDA-05"/>
    <s v="CIDA-05-2"/>
    <s v="Ops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21457"/>
    <s v="CHI"/>
    <x v="74"/>
    <s v="Senior Analyst"/>
    <s v="L3"/>
    <s v="Tomy Ciociol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24493"/>
    <s v="CHI"/>
    <x v="75"/>
    <s v="Principal Consultant"/>
    <s v="L6"/>
    <s v="Rajat Singh "/>
    <s v="CIDA-08"/>
    <s v="CIDA-08-1"/>
    <s v="Ops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0777"/>
    <s v="CHI"/>
    <x v="76"/>
    <s v="Senior Consultant"/>
    <s v="L5"/>
    <s v="Nishant Saxena "/>
    <s v="CIDA-01"/>
    <s v="CIDA-01-3"/>
    <s v="Ops"/>
    <s v="Digital analyst"/>
    <s v="DM"/>
    <s v="Nishant Saxen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24213"/>
    <s v="INC"/>
    <x v="77"/>
    <s v="Consultant"/>
    <s v="L4"/>
    <s v="Arnav Sharma "/>
    <s v="CIDA-05"/>
    <s v="CIDA-05-2"/>
    <s v="Ops"/>
    <s v="Data Scientist"/>
    <s v="DS"/>
    <s v="Arnav Sharm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3"/>
    <n v="13"/>
    <n v="13"/>
    <n v="52"/>
  </r>
  <r>
    <s v="INC-14982"/>
    <s v="INC"/>
    <x v="78"/>
    <s v="Associate Director"/>
    <s v="L7"/>
    <s v="Rajat Singh "/>
    <s v="CIDA-05"/>
    <s v="CIDA-05-4"/>
    <s v="Ops"/>
    <s v="BI Developer"/>
    <s v="BI"/>
    <s v="Walter Paredes"/>
    <m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  <e v="#N/A"/>
  </r>
  <r>
    <s v="CAN-19471"/>
    <s v="CAN"/>
    <x v="79"/>
    <s v="Principal Consultant"/>
    <s v="L6"/>
    <s v="Venkatesh Kannan "/>
    <s v="CIDA-05"/>
    <s v="CIDA-05-1"/>
    <s v="Ops"/>
    <s v="Data Engine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-21977"/>
    <s v="INC"/>
    <x v="80"/>
    <s v="Consultant"/>
    <s v="L4"/>
    <s v="Ankit Pandey "/>
    <s v="CIDA-05"/>
    <s v="CIDA-05-2"/>
    <s v="Ops"/>
    <s v="Business Systems Analyst"/>
    <s v="DS"/>
    <s v="Tushar Gupta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3092"/>
    <s v="CHI"/>
    <x v="81"/>
    <s v="Senior Analyst"/>
    <s v="L3"/>
    <s v="Raman Bangalore Venkatakr "/>
    <s v="CIDA-01"/>
    <s v="CIDA-01-4"/>
    <s v="Ops"/>
    <s v="BI Developer"/>
    <s v="BI"/>
    <s v="Walter Paredes"/>
    <m/>
    <n v="0"/>
    <n v="1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5"/>
  </r>
  <r>
    <s v="CHI-15781"/>
    <s v="CHI"/>
    <x v="82"/>
    <s v="Consultant"/>
    <s v="L4"/>
    <s v="Diego Cordova "/>
    <s v="CIDA-01"/>
    <s v="CIDA-01-1"/>
    <s v="Ops"/>
    <s v="BI Developer"/>
    <s v="DE"/>
    <s v="Venkatesh Coimbatore Kannan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e v="#N/A"/>
    <e v="#N/A"/>
  </r>
  <r>
    <s v="INC-21304"/>
    <s v="INC"/>
    <x v="83"/>
    <s v="Principal Consultant"/>
    <s v="L6"/>
    <s v="Rajat Singh "/>
    <s v="CIDA-05"/>
    <s v="CIDA-05-M1"/>
    <s v="GCP"/>
    <s v="Data Engineer"/>
    <s v="DE"/>
    <s v="Venkatesh Coimbatore Kannan"/>
    <m/>
    <n v="44"/>
    <n v="19"/>
    <n v="34"/>
    <n v="29"/>
    <n v="14"/>
    <n v="0"/>
    <n v="0"/>
    <n v="0"/>
    <n v="0"/>
    <n v="0"/>
    <n v="0"/>
    <n v="19"/>
    <n v="19"/>
    <n v="0"/>
    <n v="24"/>
    <n v="19"/>
    <n v="19"/>
    <n v="0"/>
    <n v="0"/>
    <n v="0"/>
    <n v="0"/>
    <n v="24"/>
    <n v="0"/>
    <n v="0"/>
    <n v="0"/>
    <n v="264"/>
  </r>
  <r>
    <s v="CHI-20391"/>
    <s v="CHI"/>
    <x v="84"/>
    <s v="Junior Engineer"/>
    <s v="L1"/>
    <s v="Maria Ramirez "/>
    <s v="CIDA-01"/>
    <s v="CIDA-01-6"/>
    <s v="Ops"/>
    <s v="Full Stack Developer"/>
    <s v="SD"/>
    <s v="Walter Paredes"/>
    <s v="Professional Cloud Develop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HI-14452"/>
    <s v="CHI"/>
    <x v="85"/>
    <s v="Associate Director"/>
    <s v="L7"/>
    <s v="Rajat Singh "/>
    <s v="CIDA-01"/>
    <s v="CIDA-01-M1"/>
    <s v="Ops G&amp;A"/>
    <s v="Others"/>
    <s v="SD"/>
    <s v="Walter Paredes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m/>
    <m/>
    <x v="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4114F-ADE4-43C5-B32F-8300DCB6A60D}" name="PivotTable1" cacheId="3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0" firstHeaderRow="1" firstDataRow="1" firstDataCol="1"/>
  <pivotFields count="39">
    <pivotField compact="0" outline="0" showAll="0"/>
    <pivotField compact="0" outline="0" showAll="0"/>
    <pivotField axis="axisRow" compact="0" outline="0" showAll="0" measureFilter="1" sortType="descending">
      <items count="88"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29"/>
        <item x="60"/>
        <item x="59"/>
        <item x="58"/>
        <item x="57"/>
        <item x="56"/>
        <item x="55"/>
        <item x="2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28">
    <i>
      <x v="83"/>
    </i>
    <i>
      <x v="82"/>
    </i>
    <i>
      <x v="3"/>
    </i>
    <i>
      <x v="81"/>
    </i>
    <i>
      <x v="14"/>
    </i>
    <i>
      <x v="85"/>
    </i>
    <i>
      <x v="16"/>
    </i>
    <i>
      <x v="38"/>
    </i>
    <i>
      <x v="47"/>
    </i>
    <i>
      <x v="30"/>
    </i>
    <i>
      <x v="73"/>
    </i>
    <i>
      <x v="53"/>
    </i>
    <i>
      <x v="21"/>
    </i>
    <i>
      <x v="9"/>
    </i>
    <i>
      <x v="39"/>
    </i>
    <i>
      <x v="76"/>
    </i>
    <i>
      <x v="48"/>
    </i>
    <i>
      <x v="20"/>
    </i>
    <i>
      <x v="43"/>
    </i>
    <i>
      <x v="77"/>
    </i>
    <i>
      <x v="5"/>
    </i>
    <i>
      <x v="24"/>
    </i>
    <i>
      <x v="46"/>
    </i>
    <i>
      <x v="79"/>
    </i>
    <i>
      <x v="74"/>
    </i>
    <i>
      <x v="50"/>
    </i>
    <i>
      <x v="55"/>
    </i>
    <i t="grand">
      <x/>
    </i>
  </rowItems>
  <colItems count="1">
    <i/>
  </colItems>
  <dataFields count="1">
    <dataField name="Total GCP Points" fld="38" baseField="0" baseItem="0"/>
  </dataField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7668-A48E-4D6C-BB43-20F5913D0E00}">
  <dimension ref="A2:D50"/>
  <sheetViews>
    <sheetView workbookViewId="0">
      <selection activeCell="D3" sqref="D3"/>
    </sheetView>
  </sheetViews>
  <sheetFormatPr defaultRowHeight="14.45"/>
  <cols>
    <col min="1" max="1" width="36" customWidth="1"/>
    <col min="2" max="2" width="29" customWidth="1"/>
    <col min="3" max="3" width="25.140625" customWidth="1"/>
    <col min="4" max="4" width="20" customWidth="1"/>
  </cols>
  <sheetData>
    <row r="2" spans="1:4">
      <c r="A2" s="19" t="s">
        <v>0</v>
      </c>
      <c r="B2" s="19" t="s">
        <v>1</v>
      </c>
      <c r="C2" s="24" t="s">
        <v>2</v>
      </c>
      <c r="D2" s="23" t="s">
        <v>3</v>
      </c>
    </row>
    <row r="3" spans="1:4">
      <c r="A3" s="20" t="s">
        <v>4</v>
      </c>
      <c r="B3" s="20">
        <v>357</v>
      </c>
      <c r="C3" s="20">
        <v>372</v>
      </c>
      <c r="D3">
        <f>IF(C3&gt;B3,C3-B3,IF(C3&lt;B3,C3-B3,0))</f>
        <v>15</v>
      </c>
    </row>
    <row r="4" spans="1:4">
      <c r="A4" s="20" t="s">
        <v>5</v>
      </c>
      <c r="B4" s="20">
        <v>354</v>
      </c>
      <c r="C4" s="20">
        <v>354</v>
      </c>
      <c r="D4">
        <f t="shared" ref="D4:D30" si="0">IF(C4&gt;B4,C4-B4,IF(C4&lt;B4,C4-B4,0))</f>
        <v>0</v>
      </c>
    </row>
    <row r="5" spans="1:4">
      <c r="A5" s="20" t="s">
        <v>6</v>
      </c>
      <c r="B5" s="20">
        <v>264</v>
      </c>
      <c r="C5" s="20">
        <v>264</v>
      </c>
      <c r="D5">
        <f t="shared" si="0"/>
        <v>0</v>
      </c>
    </row>
    <row r="6" spans="1:4">
      <c r="A6" s="20" t="s">
        <v>7</v>
      </c>
      <c r="B6" s="20">
        <v>217</v>
      </c>
      <c r="C6" s="20">
        <v>217</v>
      </c>
      <c r="D6">
        <f t="shared" si="0"/>
        <v>0</v>
      </c>
    </row>
    <row r="7" spans="1:4">
      <c r="A7" s="20" t="s">
        <v>8</v>
      </c>
      <c r="B7" s="20">
        <v>183</v>
      </c>
      <c r="C7" s="20">
        <v>183</v>
      </c>
      <c r="D7">
        <f t="shared" si="0"/>
        <v>0</v>
      </c>
    </row>
    <row r="8" spans="1:4">
      <c r="A8" s="20" t="s">
        <v>9</v>
      </c>
      <c r="B8" s="20">
        <v>125</v>
      </c>
      <c r="C8" s="20">
        <v>125</v>
      </c>
      <c r="D8">
        <f t="shared" si="0"/>
        <v>0</v>
      </c>
    </row>
    <row r="9" spans="1:4">
      <c r="A9" s="20" t="s">
        <v>10</v>
      </c>
      <c r="B9" s="20">
        <v>123</v>
      </c>
      <c r="C9" s="20">
        <v>123</v>
      </c>
      <c r="D9">
        <f t="shared" si="0"/>
        <v>0</v>
      </c>
    </row>
    <row r="10" spans="1:4">
      <c r="A10" s="20" t="s">
        <v>11</v>
      </c>
      <c r="B10" s="20">
        <v>90</v>
      </c>
      <c r="C10" s="20">
        <v>90</v>
      </c>
      <c r="D10">
        <f t="shared" si="0"/>
        <v>0</v>
      </c>
    </row>
    <row r="11" spans="1:4">
      <c r="A11" s="20" t="s">
        <v>12</v>
      </c>
      <c r="B11" s="20">
        <v>75</v>
      </c>
      <c r="C11" s="20">
        <v>75</v>
      </c>
      <c r="D11">
        <f t="shared" si="0"/>
        <v>0</v>
      </c>
    </row>
    <row r="12" spans="1:4">
      <c r="A12" s="20" t="s">
        <v>13</v>
      </c>
      <c r="B12" s="20">
        <v>70</v>
      </c>
      <c r="C12" s="20">
        <v>70</v>
      </c>
      <c r="D12">
        <f t="shared" si="0"/>
        <v>0</v>
      </c>
    </row>
    <row r="13" spans="1:4">
      <c r="A13" s="20" t="s">
        <v>14</v>
      </c>
      <c r="B13" s="20">
        <v>70</v>
      </c>
      <c r="C13" s="20">
        <v>70</v>
      </c>
      <c r="D13">
        <f t="shared" si="0"/>
        <v>0</v>
      </c>
    </row>
    <row r="14" spans="1:4">
      <c r="A14" s="20" t="s">
        <v>15</v>
      </c>
      <c r="B14" s="20">
        <v>60</v>
      </c>
      <c r="C14" s="20">
        <v>60</v>
      </c>
      <c r="D14">
        <f t="shared" si="0"/>
        <v>0</v>
      </c>
    </row>
    <row r="15" spans="1:4">
      <c r="A15" s="20" t="s">
        <v>16</v>
      </c>
      <c r="B15" s="20">
        <v>55</v>
      </c>
      <c r="C15" s="20">
        <v>55</v>
      </c>
      <c r="D15">
        <f t="shared" si="0"/>
        <v>0</v>
      </c>
    </row>
    <row r="16" spans="1:4">
      <c r="A16" s="20" t="s">
        <v>17</v>
      </c>
      <c r="B16" s="20">
        <v>52</v>
      </c>
      <c r="C16" s="20">
        <v>52</v>
      </c>
      <c r="D16">
        <f t="shared" si="0"/>
        <v>0</v>
      </c>
    </row>
    <row r="17" spans="1:4">
      <c r="A17" s="20" t="s">
        <v>18</v>
      </c>
      <c r="B17" s="20">
        <v>50</v>
      </c>
      <c r="C17" s="20">
        <v>50</v>
      </c>
      <c r="D17">
        <f t="shared" si="0"/>
        <v>0</v>
      </c>
    </row>
    <row r="18" spans="1:4">
      <c r="A18" s="20" t="s">
        <v>19</v>
      </c>
      <c r="B18" s="20">
        <v>44</v>
      </c>
      <c r="C18" s="20">
        <v>44</v>
      </c>
      <c r="D18">
        <f t="shared" si="0"/>
        <v>0</v>
      </c>
    </row>
    <row r="19" spans="1:4">
      <c r="A19" s="20" t="s">
        <v>20</v>
      </c>
      <c r="B19" s="20">
        <v>35</v>
      </c>
      <c r="C19" s="20">
        <v>35</v>
      </c>
      <c r="D19">
        <f t="shared" si="0"/>
        <v>0</v>
      </c>
    </row>
    <row r="20" spans="1:4">
      <c r="A20" s="20" t="s">
        <v>21</v>
      </c>
      <c r="B20" s="20">
        <v>28</v>
      </c>
      <c r="C20" s="20">
        <v>28</v>
      </c>
      <c r="D20">
        <f t="shared" si="0"/>
        <v>0</v>
      </c>
    </row>
    <row r="21" spans="1:4">
      <c r="A21" s="20" t="s">
        <v>22</v>
      </c>
      <c r="B21" s="20">
        <v>25</v>
      </c>
      <c r="C21" s="20">
        <v>25</v>
      </c>
      <c r="D21">
        <f t="shared" si="0"/>
        <v>0</v>
      </c>
    </row>
    <row r="22" spans="1:4">
      <c r="A22" s="20" t="s">
        <v>23</v>
      </c>
      <c r="B22" s="20">
        <v>18</v>
      </c>
      <c r="C22" s="20">
        <v>18</v>
      </c>
      <c r="D22">
        <f t="shared" si="0"/>
        <v>0</v>
      </c>
    </row>
    <row r="23" spans="1:4">
      <c r="A23" s="20" t="s">
        <v>24</v>
      </c>
      <c r="B23" s="20">
        <v>10</v>
      </c>
      <c r="C23" s="20">
        <v>10</v>
      </c>
      <c r="D23">
        <f t="shared" si="0"/>
        <v>0</v>
      </c>
    </row>
    <row r="24" spans="1:4">
      <c r="A24" s="20" t="s">
        <v>25</v>
      </c>
      <c r="B24" s="20">
        <v>10</v>
      </c>
      <c r="C24" s="20">
        <v>15</v>
      </c>
      <c r="D24">
        <f t="shared" si="0"/>
        <v>5</v>
      </c>
    </row>
    <row r="25" spans="1:4">
      <c r="A25" s="20" t="s">
        <v>26</v>
      </c>
      <c r="B25" s="20">
        <v>10</v>
      </c>
      <c r="C25" s="20">
        <v>10</v>
      </c>
      <c r="D25">
        <f t="shared" si="0"/>
        <v>0</v>
      </c>
    </row>
    <row r="26" spans="1:4">
      <c r="A26" s="20" t="s">
        <v>27</v>
      </c>
      <c r="B26" s="20">
        <v>5</v>
      </c>
      <c r="C26" s="20">
        <v>10</v>
      </c>
      <c r="D26">
        <f t="shared" si="0"/>
        <v>5</v>
      </c>
    </row>
    <row r="27" spans="1:4">
      <c r="A27" s="20" t="s">
        <v>28</v>
      </c>
      <c r="B27" s="20">
        <v>5</v>
      </c>
      <c r="C27" s="20">
        <v>5</v>
      </c>
      <c r="D27">
        <f t="shared" si="0"/>
        <v>0</v>
      </c>
    </row>
    <row r="28" spans="1:4">
      <c r="A28" s="20" t="s">
        <v>29</v>
      </c>
      <c r="B28" s="20">
        <v>5</v>
      </c>
      <c r="C28" s="20">
        <v>5</v>
      </c>
      <c r="D28">
        <f t="shared" si="0"/>
        <v>0</v>
      </c>
    </row>
    <row r="29" spans="1:4">
      <c r="A29" s="20" t="s">
        <v>30</v>
      </c>
      <c r="B29" s="20">
        <v>5</v>
      </c>
      <c r="C29" s="20">
        <v>10</v>
      </c>
      <c r="D29">
        <f t="shared" si="0"/>
        <v>5</v>
      </c>
    </row>
    <row r="30" spans="1:4">
      <c r="A30" s="21" t="s">
        <v>31</v>
      </c>
      <c r="B30" s="22">
        <f>SUM(B3:B29)</f>
        <v>2345</v>
      </c>
      <c r="C30" s="22">
        <f>SUM(C3:C29)</f>
        <v>2375</v>
      </c>
      <c r="D30">
        <f t="shared" si="0"/>
        <v>30</v>
      </c>
    </row>
    <row r="46" ht="15"/>
    <row r="47" ht="15"/>
    <row r="50" ht="15"/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3E1A130-C159-46C4-80F7-7564F1A96610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7E8E-1FA4-4172-A365-9D0B7E8E677D}">
  <dimension ref="A2:B30"/>
  <sheetViews>
    <sheetView workbookViewId="0">
      <selection activeCell="A7" sqref="A7"/>
    </sheetView>
  </sheetViews>
  <sheetFormatPr defaultRowHeight="14.45"/>
  <cols>
    <col min="1" max="1" width="32.28515625" bestFit="1" customWidth="1"/>
    <col min="2" max="2" width="16" bestFit="1" customWidth="1"/>
  </cols>
  <sheetData>
    <row r="2" spans="1:2">
      <c r="A2" s="18" t="s">
        <v>0</v>
      </c>
      <c r="B2" t="s">
        <v>32</v>
      </c>
    </row>
    <row r="3" spans="1:2">
      <c r="A3" t="s">
        <v>4</v>
      </c>
      <c r="B3">
        <v>372</v>
      </c>
    </row>
    <row r="4" spans="1:2">
      <c r="A4" t="s">
        <v>5</v>
      </c>
      <c r="B4">
        <v>354</v>
      </c>
    </row>
    <row r="5" spans="1:2">
      <c r="A5" t="s">
        <v>6</v>
      </c>
      <c r="B5">
        <v>264</v>
      </c>
    </row>
    <row r="6" spans="1:2">
      <c r="A6" t="s">
        <v>7</v>
      </c>
      <c r="B6">
        <v>217</v>
      </c>
    </row>
    <row r="7" spans="1:2">
      <c r="A7" t="s">
        <v>8</v>
      </c>
      <c r="B7">
        <v>183</v>
      </c>
    </row>
    <row r="8" spans="1:2">
      <c r="A8" t="s">
        <v>9</v>
      </c>
      <c r="B8">
        <v>125</v>
      </c>
    </row>
    <row r="9" spans="1:2">
      <c r="A9" t="s">
        <v>10</v>
      </c>
      <c r="B9">
        <v>123</v>
      </c>
    </row>
    <row r="10" spans="1:2">
      <c r="A10" t="s">
        <v>11</v>
      </c>
      <c r="B10">
        <v>90</v>
      </c>
    </row>
    <row r="11" spans="1:2">
      <c r="A11" t="s">
        <v>12</v>
      </c>
      <c r="B11">
        <v>75</v>
      </c>
    </row>
    <row r="12" spans="1:2">
      <c r="A12" t="s">
        <v>13</v>
      </c>
      <c r="B12">
        <v>70</v>
      </c>
    </row>
    <row r="13" spans="1:2">
      <c r="A13" t="s">
        <v>14</v>
      </c>
      <c r="B13">
        <v>70</v>
      </c>
    </row>
    <row r="14" spans="1:2">
      <c r="A14" t="s">
        <v>15</v>
      </c>
      <c r="B14">
        <v>60</v>
      </c>
    </row>
    <row r="15" spans="1:2">
      <c r="A15" t="s">
        <v>16</v>
      </c>
      <c r="B15">
        <v>55</v>
      </c>
    </row>
    <row r="16" spans="1:2">
      <c r="A16" t="s">
        <v>17</v>
      </c>
      <c r="B16">
        <v>52</v>
      </c>
    </row>
    <row r="17" spans="1:2">
      <c r="A17" t="s">
        <v>18</v>
      </c>
      <c r="B17">
        <v>50</v>
      </c>
    </row>
    <row r="18" spans="1:2">
      <c r="A18" t="s">
        <v>19</v>
      </c>
      <c r="B18">
        <v>44</v>
      </c>
    </row>
    <row r="19" spans="1:2">
      <c r="A19" t="s">
        <v>20</v>
      </c>
      <c r="B19">
        <v>35</v>
      </c>
    </row>
    <row r="20" spans="1:2">
      <c r="A20" t="s">
        <v>21</v>
      </c>
      <c r="B20">
        <v>28</v>
      </c>
    </row>
    <row r="21" spans="1:2">
      <c r="A21" t="s">
        <v>22</v>
      </c>
      <c r="B21">
        <v>25</v>
      </c>
    </row>
    <row r="22" spans="1:2">
      <c r="A22" t="s">
        <v>23</v>
      </c>
      <c r="B22">
        <v>18</v>
      </c>
    </row>
    <row r="23" spans="1:2">
      <c r="A23" t="s">
        <v>25</v>
      </c>
      <c r="B23">
        <v>15</v>
      </c>
    </row>
    <row r="24" spans="1:2">
      <c r="A24" t="s">
        <v>26</v>
      </c>
      <c r="B24">
        <v>10</v>
      </c>
    </row>
    <row r="25" spans="1:2">
      <c r="A25" t="s">
        <v>27</v>
      </c>
      <c r="B25">
        <v>10</v>
      </c>
    </row>
    <row r="26" spans="1:2">
      <c r="A26" t="s">
        <v>24</v>
      </c>
      <c r="B26">
        <v>10</v>
      </c>
    </row>
    <row r="27" spans="1:2">
      <c r="A27" t="s">
        <v>30</v>
      </c>
      <c r="B27">
        <v>10</v>
      </c>
    </row>
    <row r="28" spans="1:2">
      <c r="A28" t="s">
        <v>28</v>
      </c>
      <c r="B28">
        <v>5</v>
      </c>
    </row>
    <row r="29" spans="1:2">
      <c r="A29" t="s">
        <v>29</v>
      </c>
      <c r="B29">
        <v>5</v>
      </c>
    </row>
    <row r="30" spans="1:2">
      <c r="A30" t="s">
        <v>31</v>
      </c>
      <c r="B30">
        <v>2375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1D57-D1E2-40A8-898D-9A5290BDB959}">
  <sheetPr filterMode="1"/>
  <dimension ref="A1:AM87"/>
  <sheetViews>
    <sheetView topLeftCell="J1" workbookViewId="0">
      <selection activeCell="N3" sqref="N3"/>
    </sheetView>
  </sheetViews>
  <sheetFormatPr defaultRowHeight="14.45"/>
  <cols>
    <col min="3" max="3" width="21.140625" customWidth="1"/>
    <col min="4" max="4" width="12" customWidth="1"/>
    <col min="12" max="12" width="25.7109375" customWidth="1"/>
    <col min="13" max="13" width="32" customWidth="1"/>
  </cols>
  <sheetData>
    <row r="1" spans="1:39" ht="26.1">
      <c r="A1" s="2" t="s">
        <v>33</v>
      </c>
      <c r="B1" s="2" t="s">
        <v>34</v>
      </c>
      <c r="C1" s="2" t="s">
        <v>0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3" t="s">
        <v>44</v>
      </c>
      <c r="N1" s="4" t="s">
        <v>45</v>
      </c>
      <c r="O1" s="4" t="s">
        <v>46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  <c r="U1" s="4" t="s">
        <v>52</v>
      </c>
      <c r="V1" s="4" t="s">
        <v>53</v>
      </c>
      <c r="W1" s="4" t="s">
        <v>54</v>
      </c>
      <c r="X1" s="4" t="s">
        <v>55</v>
      </c>
      <c r="Y1" s="4" t="s">
        <v>56</v>
      </c>
      <c r="Z1" s="4" t="s">
        <v>57</v>
      </c>
      <c r="AA1" s="4" t="s">
        <v>58</v>
      </c>
      <c r="AB1" s="4" t="s">
        <v>59</v>
      </c>
      <c r="AC1" s="4" t="s">
        <v>60</v>
      </c>
      <c r="AD1" s="4" t="s">
        <v>61</v>
      </c>
      <c r="AE1" s="4" t="s">
        <v>62</v>
      </c>
      <c r="AF1" s="4" t="s">
        <v>63</v>
      </c>
      <c r="AG1" s="4" t="s">
        <v>64</v>
      </c>
      <c r="AH1" s="4" t="s">
        <v>65</v>
      </c>
      <c r="AI1" s="4" t="s">
        <v>66</v>
      </c>
      <c r="AJ1" s="4" t="s">
        <v>67</v>
      </c>
      <c r="AK1" s="4" t="s">
        <v>68</v>
      </c>
      <c r="AL1" s="4" t="s">
        <v>69</v>
      </c>
      <c r="AM1" s="3" t="s">
        <v>31</v>
      </c>
    </row>
    <row r="2" spans="1:39">
      <c r="A2" s="5" t="s">
        <v>70</v>
      </c>
      <c r="B2" s="5" t="s">
        <v>71</v>
      </c>
      <c r="C2" s="6" t="s">
        <v>72</v>
      </c>
      <c r="D2" s="7" t="s">
        <v>73</v>
      </c>
      <c r="E2" s="7" t="s">
        <v>74</v>
      </c>
      <c r="F2" s="7" t="s">
        <v>75</v>
      </c>
      <c r="G2" s="5" t="s">
        <v>76</v>
      </c>
      <c r="H2" s="5" t="s">
        <v>77</v>
      </c>
      <c r="I2" s="7" t="s">
        <v>78</v>
      </c>
      <c r="J2" s="7" t="s">
        <v>79</v>
      </c>
      <c r="K2" s="7" t="s">
        <v>80</v>
      </c>
      <c r="L2" s="8" t="s">
        <v>75</v>
      </c>
      <c r="M2" s="9"/>
      <c r="N2">
        <f>VLOOKUP(C2,BigQuery!$1:$1048576,10,FALSE)</f>
        <v>0</v>
      </c>
      <c r="O2">
        <f>VLOOKUP(C2,Looker!$1:$1048576,10,FALSE)</f>
        <v>0</v>
      </c>
      <c r="P2">
        <f>VLOOKUP(C2,Dataflow!$1:$1048576,10,FALSE)</f>
        <v>0</v>
      </c>
      <c r="Q2">
        <f>VLOOKUP(C2,Dataproc!$1:$1048576,10,FALSE)</f>
        <v>0</v>
      </c>
      <c r="R2">
        <f>VLOOKUP(C2,'Google Kubernetes Engine'!$1:$1048576,10,FALSE)</f>
        <v>0</v>
      </c>
      <c r="S2">
        <f>VLOOKUP(C2,'Apigee API Management'!$1:$1048576,10,FALSE)</f>
        <v>0</v>
      </c>
      <c r="T2">
        <f>VLOOKUP(C2,'Cloud Run'!$1:$1048576,10,FALSE)</f>
        <v>0</v>
      </c>
      <c r="U2">
        <f>VLOOKUP(C2,Workspace!$1:$1048576,10,FALSE)</f>
        <v>0</v>
      </c>
      <c r="V2">
        <f>VLOOKUP(C2,'Cloud SQL'!$1:$1048576,10,FALSE)</f>
        <v>0</v>
      </c>
      <c r="W2">
        <f>VLOOKUP(C2,'AlloyDB for PostgreSQL'!$1:$1048576,10,FALSE)</f>
        <v>0</v>
      </c>
      <c r="X2">
        <f>VLOOKUP(C2,Spanner!$1:$1048576,10,FALSE)</f>
        <v>0</v>
      </c>
      <c r="Y2">
        <f>VLOOKUP(C2,Oracle!$1:$1048576,10,FALSE)</f>
        <v>0</v>
      </c>
      <c r="Z2">
        <f>VLOOKUP(C2,'Google Compute Engine'!$1:$1048576,10,FALSE)</f>
        <v>0</v>
      </c>
      <c r="AA2">
        <f>VLOOKUP(C2,'Google Cloud Networking'!$1:$1048576,10,FALSE)</f>
        <v>0</v>
      </c>
      <c r="AB2">
        <f>VLOOKUP(C2,'SAP on Google Cloud'!$1:$1048576,10,FALSE)</f>
        <v>0</v>
      </c>
      <c r="AC2">
        <f>VLOOKUP(C2,'Google Cloud VMware Engine'!$1:$1048576,10,FALSE)</f>
        <v>0</v>
      </c>
      <c r="AD2">
        <f>VLOOKUP(C2,'Google Distributed Cloud'!$1:$1048576,10,FALSE)</f>
        <v>0</v>
      </c>
      <c r="AE2">
        <f>VLOOKUP(C2,'Cloud Security'!$1:$1048576,10,FALSE)</f>
        <v>0</v>
      </c>
      <c r="AF2">
        <f>VLOOKUP(C2,'Security Command Center'!$1:$1048576,10,FALSE)</f>
        <v>0</v>
      </c>
      <c r="AG2">
        <f>VLOOKUP(C2,'Security Operations'!$1:$1048576,10,FALSE)</f>
        <v>0</v>
      </c>
      <c r="AH2">
        <f>VLOOKUP(C2,'Google Threat Intelligence'!$1:$1048576,10,FALSE)</f>
        <v>0</v>
      </c>
      <c r="AI2">
        <f>VLOOKUP(C2,'Vertex AI Platform'!$1:$1048576,10,FALSE)</f>
        <v>0</v>
      </c>
      <c r="AJ2">
        <f>VLOOKUP(C2,'AI Applications'!$1:$1048576,10,FALSE)</f>
        <v>0</v>
      </c>
      <c r="AK2">
        <f>VLOOKUP(C2,'Gemini Enterprise'!$1:$1048576,10,FALSE)</f>
        <v>0</v>
      </c>
      <c r="AL2">
        <f>VLOOKUP(C2,'Customer Engagement Suite'!$1:$1048576,10,FALSE)</f>
        <v>0</v>
      </c>
      <c r="AM2">
        <f>SUM(N2:AL2)</f>
        <v>0</v>
      </c>
    </row>
    <row r="3" spans="1:39">
      <c r="A3" s="5" t="s">
        <v>81</v>
      </c>
      <c r="B3" s="5" t="s">
        <v>71</v>
      </c>
      <c r="C3" s="6" t="s">
        <v>9</v>
      </c>
      <c r="D3" s="7" t="s">
        <v>82</v>
      </c>
      <c r="E3" s="7" t="s">
        <v>83</v>
      </c>
      <c r="F3" s="7" t="s">
        <v>84</v>
      </c>
      <c r="G3" s="5" t="s">
        <v>76</v>
      </c>
      <c r="H3" s="5" t="s">
        <v>85</v>
      </c>
      <c r="I3" s="7" t="s">
        <v>78</v>
      </c>
      <c r="J3" s="7" t="s">
        <v>86</v>
      </c>
      <c r="K3" s="7" t="s">
        <v>87</v>
      </c>
      <c r="L3" s="6" t="s">
        <v>6</v>
      </c>
      <c r="M3" s="10"/>
      <c r="N3">
        <f>VLOOKUP(C3,BigQuery!$1:$1048576,10,FALSE)</f>
        <v>34</v>
      </c>
      <c r="O3">
        <f>VLOOKUP(C3,Looker!$1:$1048576,10,FALSE)</f>
        <v>14</v>
      </c>
      <c r="P3">
        <f>VLOOKUP(C3,Dataflow!$1:$1048576,10,FALSE)</f>
        <v>39</v>
      </c>
      <c r="Q3">
        <f>VLOOKUP(C3,Dataproc!$1:$1048576,10,FALSE)</f>
        <v>24</v>
      </c>
      <c r="R3">
        <f>VLOOKUP(C3,'Google Kubernetes Engine'!$1:$1048576,10,FALSE)</f>
        <v>0</v>
      </c>
      <c r="S3">
        <f>VLOOKUP(C3,'Apigee API Management'!$1:$1048576,10,FALSE)</f>
        <v>0</v>
      </c>
      <c r="T3">
        <f>VLOOKUP(C3,'Cloud Run'!$1:$1048576,10,FALSE)</f>
        <v>0</v>
      </c>
      <c r="U3">
        <f>VLOOKUP(C3,Workspace!$1:$1048576,10,FALSE)</f>
        <v>0</v>
      </c>
      <c r="V3">
        <f>VLOOKUP(C3,'Cloud SQL'!$1:$1048576,10,FALSE)</f>
        <v>0</v>
      </c>
      <c r="W3">
        <f>VLOOKUP(C3,'AlloyDB for PostgreSQL'!$1:$1048576,10,FALSE)</f>
        <v>0</v>
      </c>
      <c r="X3">
        <f>VLOOKUP(C3,Spanner!$1:$1048576,10,FALSE)</f>
        <v>0</v>
      </c>
      <c r="Y3">
        <f>VLOOKUP(C3,Oracle!$1:$1048576,10,FALSE)</f>
        <v>0</v>
      </c>
      <c r="Z3">
        <f>VLOOKUP(C3,'Google Compute Engine'!$1:$1048576,10,FALSE)</f>
        <v>0</v>
      </c>
      <c r="AA3">
        <f>VLOOKUP(C3,'Google Cloud Networking'!$1:$1048576,10,FALSE)</f>
        <v>0</v>
      </c>
      <c r="AB3">
        <f>VLOOKUP(C3,'SAP on Google Cloud'!$1:$1048576,10,FALSE)</f>
        <v>0</v>
      </c>
      <c r="AC3">
        <f>VLOOKUP(C3,'Google Cloud VMware Engine'!$1:$1048576,10,FALSE)</f>
        <v>0</v>
      </c>
      <c r="AD3">
        <f>VLOOKUP(C3,'Google Distributed Cloud'!$1:$1048576,10,FALSE)</f>
        <v>0</v>
      </c>
      <c r="AE3">
        <f>VLOOKUP(C3,'Cloud Security'!$1:$1048576,10,FALSE)</f>
        <v>0</v>
      </c>
      <c r="AF3">
        <f>VLOOKUP(C3,'Security Command Center'!$1:$1048576,10,FALSE)</f>
        <v>0</v>
      </c>
      <c r="AG3">
        <f>VLOOKUP(C3,'Security Operations'!$1:$1048576,10,FALSE)</f>
        <v>0</v>
      </c>
      <c r="AH3">
        <f>VLOOKUP(C3,'Google Threat Intelligence'!$1:$1048576,10,FALSE)</f>
        <v>0</v>
      </c>
      <c r="AI3">
        <f>VLOOKUP(C3,'Vertex AI Platform'!$1:$1048576,10,FALSE)</f>
        <v>14</v>
      </c>
      <c r="AJ3">
        <f>VLOOKUP(C3,'AI Applications'!$1:$1048576,10,FALSE)</f>
        <v>0</v>
      </c>
      <c r="AK3">
        <f>VLOOKUP(C3,'Gemini Enterprise'!$1:$1048576,10,FALSE)</f>
        <v>0</v>
      </c>
      <c r="AL3">
        <f>VLOOKUP(C3,'Customer Engagement Suite'!$1:$1048576,10,FALSE)</f>
        <v>0</v>
      </c>
      <c r="AM3">
        <f t="shared" ref="AM3:AM65" si="0">SUM(N3:AL3)</f>
        <v>125</v>
      </c>
    </row>
    <row r="4" spans="1:39">
      <c r="A4" s="5" t="s">
        <v>88</v>
      </c>
      <c r="B4" s="5" t="s">
        <v>89</v>
      </c>
      <c r="C4" s="6" t="s">
        <v>90</v>
      </c>
      <c r="D4" s="7" t="s">
        <v>91</v>
      </c>
      <c r="E4" s="7" t="s">
        <v>92</v>
      </c>
      <c r="F4" s="7" t="s">
        <v>93</v>
      </c>
      <c r="G4" s="5" t="s">
        <v>76</v>
      </c>
      <c r="H4" s="5" t="s">
        <v>94</v>
      </c>
      <c r="I4" s="7" t="s">
        <v>78</v>
      </c>
      <c r="J4" s="7" t="s">
        <v>95</v>
      </c>
      <c r="K4" s="7" t="s">
        <v>96</v>
      </c>
      <c r="L4" s="6" t="s">
        <v>97</v>
      </c>
      <c r="M4" s="10"/>
      <c r="N4">
        <f>VLOOKUP(C4,BigQuery!$1:$1048576,10,FALSE)</f>
        <v>0</v>
      </c>
      <c r="O4">
        <f>VLOOKUP(C4,Looker!$1:$1048576,10,FALSE)</f>
        <v>0</v>
      </c>
      <c r="P4">
        <f>VLOOKUP(C4,Dataflow!$1:$1048576,10,FALSE)</f>
        <v>0</v>
      </c>
      <c r="Q4">
        <f>VLOOKUP(C4,Dataproc!$1:$1048576,10,FALSE)</f>
        <v>0</v>
      </c>
      <c r="R4">
        <f>VLOOKUP(C4,'Google Kubernetes Engine'!$1:$1048576,10,FALSE)</f>
        <v>0</v>
      </c>
      <c r="S4">
        <f>VLOOKUP(C4,'Apigee API Management'!$1:$1048576,10,FALSE)</f>
        <v>0</v>
      </c>
      <c r="T4">
        <f>VLOOKUP(C4,'Cloud Run'!$1:$1048576,10,FALSE)</f>
        <v>0</v>
      </c>
      <c r="U4">
        <f>VLOOKUP(C4,Workspace!$1:$1048576,10,FALSE)</f>
        <v>0</v>
      </c>
      <c r="V4">
        <f>VLOOKUP(C4,'Cloud SQL'!$1:$1048576,10,FALSE)</f>
        <v>0</v>
      </c>
      <c r="W4">
        <f>VLOOKUP(C4,'AlloyDB for PostgreSQL'!$1:$1048576,10,FALSE)</f>
        <v>0</v>
      </c>
      <c r="X4">
        <f>VLOOKUP(C4,Spanner!$1:$1048576,10,FALSE)</f>
        <v>0</v>
      </c>
      <c r="Y4">
        <f>VLOOKUP(C4,Oracle!$1:$1048576,10,FALSE)</f>
        <v>0</v>
      </c>
      <c r="Z4">
        <f>VLOOKUP(C4,'Google Compute Engine'!$1:$1048576,10,FALSE)</f>
        <v>0</v>
      </c>
      <c r="AA4">
        <f>VLOOKUP(C4,'Google Cloud Networking'!$1:$1048576,10,FALSE)</f>
        <v>0</v>
      </c>
      <c r="AB4">
        <f>VLOOKUP(C4,'SAP on Google Cloud'!$1:$1048576,10,FALSE)</f>
        <v>0</v>
      </c>
      <c r="AC4">
        <f>VLOOKUP(C4,'Google Cloud VMware Engine'!$1:$1048576,10,FALSE)</f>
        <v>0</v>
      </c>
      <c r="AD4">
        <f>VLOOKUP(C4,'Google Distributed Cloud'!$1:$1048576,10,FALSE)</f>
        <v>0</v>
      </c>
      <c r="AE4">
        <f>VLOOKUP(C4,'Cloud Security'!$1:$1048576,10,FALSE)</f>
        <v>0</v>
      </c>
      <c r="AF4">
        <f>VLOOKUP(C4,'Security Command Center'!$1:$1048576,10,FALSE)</f>
        <v>0</v>
      </c>
      <c r="AG4">
        <f>VLOOKUP(C4,'Security Operations'!$1:$1048576,10,FALSE)</f>
        <v>0</v>
      </c>
      <c r="AH4">
        <f>VLOOKUP(C4,'Google Threat Intelligence'!$1:$1048576,10,FALSE)</f>
        <v>0</v>
      </c>
      <c r="AI4">
        <f>VLOOKUP(C4,'Vertex AI Platform'!$1:$1048576,10,FALSE)</f>
        <v>0</v>
      </c>
      <c r="AJ4">
        <f>VLOOKUP(C4,'AI Applications'!$1:$1048576,10,FALSE)</f>
        <v>0</v>
      </c>
      <c r="AK4">
        <f>VLOOKUP(C4,'Gemini Enterprise'!$1:$1048576,10,FALSE)</f>
        <v>0</v>
      </c>
      <c r="AL4">
        <f>VLOOKUP(C4,'Customer Engagement Suite'!$1:$1048576,10,FALSE)</f>
        <v>0</v>
      </c>
      <c r="AM4">
        <f t="shared" si="0"/>
        <v>0</v>
      </c>
    </row>
    <row r="5" spans="1:39">
      <c r="A5" s="5" t="s">
        <v>98</v>
      </c>
      <c r="B5" s="5" t="s">
        <v>99</v>
      </c>
      <c r="C5" s="6" t="s">
        <v>100</v>
      </c>
      <c r="D5" s="7" t="s">
        <v>82</v>
      </c>
      <c r="E5" s="7" t="s">
        <v>83</v>
      </c>
      <c r="F5" s="7" t="s">
        <v>101</v>
      </c>
      <c r="G5" s="5" t="s">
        <v>102</v>
      </c>
      <c r="H5" s="5" t="s">
        <v>103</v>
      </c>
      <c r="I5" s="7" t="s">
        <v>78</v>
      </c>
      <c r="J5" s="7" t="s">
        <v>86</v>
      </c>
      <c r="K5" s="7" t="s">
        <v>87</v>
      </c>
      <c r="L5" s="6" t="s">
        <v>6</v>
      </c>
      <c r="M5" s="10"/>
      <c r="N5">
        <f>VLOOKUP(C5,BigQuery!$1:$1048576,10,FALSE)</f>
        <v>0</v>
      </c>
      <c r="O5">
        <f>VLOOKUP(C5,Looker!$1:$1048576,10,FALSE)</f>
        <v>0</v>
      </c>
      <c r="P5">
        <f>VLOOKUP(C5,Dataflow!$1:$1048576,10,FALSE)</f>
        <v>0</v>
      </c>
      <c r="Q5">
        <f>VLOOKUP(C5,Dataproc!$1:$1048576,10,FALSE)</f>
        <v>0</v>
      </c>
      <c r="R5">
        <f>VLOOKUP(C5,'Google Kubernetes Engine'!$1:$1048576,10,FALSE)</f>
        <v>0</v>
      </c>
      <c r="S5">
        <f>VLOOKUP(C5,'Apigee API Management'!$1:$1048576,10,FALSE)</f>
        <v>0</v>
      </c>
      <c r="T5">
        <f>VLOOKUP(C5,'Cloud Run'!$1:$1048576,10,FALSE)</f>
        <v>0</v>
      </c>
      <c r="U5">
        <f>VLOOKUP(C5,Workspace!$1:$1048576,10,FALSE)</f>
        <v>0</v>
      </c>
      <c r="V5">
        <f>VLOOKUP(C5,'Cloud SQL'!$1:$1048576,10,FALSE)</f>
        <v>0</v>
      </c>
      <c r="W5">
        <f>VLOOKUP(C5,'AlloyDB for PostgreSQL'!$1:$1048576,10,FALSE)</f>
        <v>0</v>
      </c>
      <c r="X5">
        <f>VLOOKUP(C5,Spanner!$1:$1048576,10,FALSE)</f>
        <v>0</v>
      </c>
      <c r="Y5">
        <f>VLOOKUP(C5,Oracle!$1:$1048576,10,FALSE)</f>
        <v>0</v>
      </c>
      <c r="Z5">
        <f>VLOOKUP(C5,'Google Compute Engine'!$1:$1048576,10,FALSE)</f>
        <v>0</v>
      </c>
      <c r="AA5">
        <f>VLOOKUP(C5,'Google Cloud Networking'!$1:$1048576,10,FALSE)</f>
        <v>0</v>
      </c>
      <c r="AB5">
        <f>VLOOKUP(C5,'SAP on Google Cloud'!$1:$1048576,10,FALSE)</f>
        <v>0</v>
      </c>
      <c r="AC5">
        <f>VLOOKUP(C5,'Google Cloud VMware Engine'!$1:$1048576,10,FALSE)</f>
        <v>0</v>
      </c>
      <c r="AD5">
        <f>VLOOKUP(C5,'Google Distributed Cloud'!$1:$1048576,10,FALSE)</f>
        <v>0</v>
      </c>
      <c r="AE5">
        <f>VLOOKUP(C5,'Cloud Security'!$1:$1048576,10,FALSE)</f>
        <v>0</v>
      </c>
      <c r="AF5">
        <f>VLOOKUP(C5,'Security Command Center'!$1:$1048576,10,FALSE)</f>
        <v>0</v>
      </c>
      <c r="AG5">
        <f>VLOOKUP(C5,'Security Operations'!$1:$1048576,10,FALSE)</f>
        <v>0</v>
      </c>
      <c r="AH5">
        <f>VLOOKUP(C5,'Google Threat Intelligence'!$1:$1048576,10,FALSE)</f>
        <v>0</v>
      </c>
      <c r="AI5">
        <f>VLOOKUP(C5,'Vertex AI Platform'!$1:$1048576,10,FALSE)</f>
        <v>0</v>
      </c>
      <c r="AJ5">
        <f>VLOOKUP(C5,'AI Applications'!$1:$1048576,10,FALSE)</f>
        <v>0</v>
      </c>
      <c r="AK5">
        <f>VLOOKUP(C5,'Gemini Enterprise'!$1:$1048576,10,FALSE)</f>
        <v>0</v>
      </c>
      <c r="AL5">
        <f>VLOOKUP(C5,'Customer Engagement Suite'!$1:$1048576,10,FALSE)</f>
        <v>0</v>
      </c>
      <c r="AM5">
        <f t="shared" si="0"/>
        <v>0</v>
      </c>
    </row>
    <row r="6" spans="1:39">
      <c r="A6" s="5" t="s">
        <v>104</v>
      </c>
      <c r="B6" s="5" t="s">
        <v>99</v>
      </c>
      <c r="C6" s="6" t="s">
        <v>4</v>
      </c>
      <c r="D6" s="5" t="s">
        <v>105</v>
      </c>
      <c r="E6" s="5" t="s">
        <v>106</v>
      </c>
      <c r="F6" s="5" t="s">
        <v>107</v>
      </c>
      <c r="G6" s="5" t="s">
        <v>102</v>
      </c>
      <c r="H6" s="5" t="s">
        <v>108</v>
      </c>
      <c r="I6" s="5" t="s">
        <v>78</v>
      </c>
      <c r="J6" s="5" t="s">
        <v>109</v>
      </c>
      <c r="K6" s="5" t="s">
        <v>110</v>
      </c>
      <c r="L6" s="6" t="s">
        <v>111</v>
      </c>
      <c r="M6" s="10" t="s">
        <v>112</v>
      </c>
      <c r="N6">
        <f>VLOOKUP(C6,BigQuery!$1:$1048576,10,FALSE)</f>
        <v>24</v>
      </c>
      <c r="O6">
        <f>VLOOKUP(C6,Looker!$1:$1048576,10,FALSE)</f>
        <v>0</v>
      </c>
      <c r="P6">
        <f>VLOOKUP(C6,Dataflow!$1:$1048576,10,FALSE)</f>
        <v>19</v>
      </c>
      <c r="Q6">
        <f>VLOOKUP(C6,Dataproc!$1:$1048576,10,FALSE)</f>
        <v>0</v>
      </c>
      <c r="R6">
        <f>VLOOKUP(C6,'Google Kubernetes Engine'!$1:$1048576,10,FALSE)</f>
        <v>39</v>
      </c>
      <c r="S6">
        <f>VLOOKUP(C6,'Apigee API Management'!$1:$1048576,10,FALSE)</f>
        <v>19</v>
      </c>
      <c r="T6">
        <f>VLOOKUP(C6,'Cloud Run'!$1:$1048576,10,FALSE)</f>
        <v>44</v>
      </c>
      <c r="U6">
        <f>VLOOKUP(C6,Workspace!$1:$1048576,10,FALSE)</f>
        <v>0</v>
      </c>
      <c r="V6">
        <f>VLOOKUP(C6,'Cloud SQL'!$1:$1048576,10,FALSE)</f>
        <v>14</v>
      </c>
      <c r="W6">
        <f>VLOOKUP(C6,'AlloyDB for PostgreSQL'!$1:$1048576,10,FALSE)</f>
        <v>0</v>
      </c>
      <c r="X6">
        <f>VLOOKUP(C6,Spanner!$1:$1048576,10,FALSE)</f>
        <v>0</v>
      </c>
      <c r="Y6">
        <f>VLOOKUP(C6,Oracle!$1:$1048576,10,FALSE)</f>
        <v>0</v>
      </c>
      <c r="Z6">
        <f>VLOOKUP(C6,'Google Compute Engine'!$1:$1048576,10,FALSE)</f>
        <v>24</v>
      </c>
      <c r="AA6">
        <f>VLOOKUP(C6,'Google Cloud Networking'!$1:$1048576,10,FALSE)</f>
        <v>34</v>
      </c>
      <c r="AB6">
        <f>VLOOKUP(C6,'SAP on Google Cloud'!$1:$1048576,10,FALSE)</f>
        <v>0</v>
      </c>
      <c r="AC6">
        <f>VLOOKUP(C6,'Google Cloud VMware Engine'!$1:$1048576,10,FALSE)</f>
        <v>0</v>
      </c>
      <c r="AD6">
        <f>VLOOKUP(C6,'Google Distributed Cloud'!$1:$1048576,10,FALSE)</f>
        <v>0</v>
      </c>
      <c r="AE6">
        <f>VLOOKUP(C6,'Cloud Security'!$1:$1048576,10,FALSE)</f>
        <v>19</v>
      </c>
      <c r="AF6">
        <f>VLOOKUP(C6,'Security Command Center'!$1:$1048576,10,FALSE)</f>
        <v>0</v>
      </c>
      <c r="AG6">
        <f>VLOOKUP(C6,'Security Operations'!$1:$1048576,10,FALSE)</f>
        <v>0</v>
      </c>
      <c r="AH6">
        <f>VLOOKUP(C6,'Google Threat Intelligence'!$1:$1048576,10,FALSE)</f>
        <v>0</v>
      </c>
      <c r="AI6">
        <f>VLOOKUP(C6,'Vertex AI Platform'!$1:$1048576,10,FALSE)</f>
        <v>49</v>
      </c>
      <c r="AJ6">
        <f>VLOOKUP(C6,'AI Applications'!$1:$1048576,10,FALSE)</f>
        <v>44</v>
      </c>
      <c r="AK6">
        <f>VLOOKUP(C6,'Gemini Enterprise'!$1:$1048576,10,FALSE)</f>
        <v>24</v>
      </c>
      <c r="AL6">
        <f>VLOOKUP(C6,'Customer Engagement Suite'!$1:$1048576,10,FALSE)</f>
        <v>19</v>
      </c>
      <c r="AM6">
        <f t="shared" si="0"/>
        <v>372</v>
      </c>
    </row>
    <row r="7" spans="1:39">
      <c r="A7" s="5" t="s">
        <v>113</v>
      </c>
      <c r="B7" s="5" t="s">
        <v>114</v>
      </c>
      <c r="C7" s="6" t="s">
        <v>5</v>
      </c>
      <c r="D7" s="7" t="s">
        <v>115</v>
      </c>
      <c r="E7" s="7" t="s">
        <v>116</v>
      </c>
      <c r="F7" s="7" t="s">
        <v>117</v>
      </c>
      <c r="G7" s="5" t="s">
        <v>102</v>
      </c>
      <c r="H7" s="5" t="s">
        <v>103</v>
      </c>
      <c r="I7" s="7" t="s">
        <v>78</v>
      </c>
      <c r="J7" s="7" t="s">
        <v>86</v>
      </c>
      <c r="K7" s="7" t="s">
        <v>87</v>
      </c>
      <c r="L7" s="6" t="s">
        <v>6</v>
      </c>
      <c r="M7" s="10"/>
      <c r="N7">
        <f>VLOOKUP(C7,BigQuery!$1:$1048576,10,FALSE)</f>
        <v>29</v>
      </c>
      <c r="O7">
        <f>VLOOKUP(C7,Looker!$1:$1048576,10,FALSE)</f>
        <v>19</v>
      </c>
      <c r="P7">
        <f>VLOOKUP(C7,Dataflow!$1:$1048576,10,FALSE)</f>
        <v>19</v>
      </c>
      <c r="Q7">
        <f>VLOOKUP(C7,Dataproc!$1:$1048576,10,FALSE)</f>
        <v>19</v>
      </c>
      <c r="R7">
        <f>VLOOKUP(C7,'Google Kubernetes Engine'!$1:$1048576,10,FALSE)</f>
        <v>19</v>
      </c>
      <c r="S7">
        <f>VLOOKUP(C7,'Apigee API Management'!$1:$1048576,10,FALSE)</f>
        <v>0</v>
      </c>
      <c r="T7">
        <f>VLOOKUP(C7,'Cloud Run'!$1:$1048576,10,FALSE)</f>
        <v>0</v>
      </c>
      <c r="U7">
        <f>VLOOKUP(C7,Workspace!$1:$1048576,10,FALSE)</f>
        <v>0</v>
      </c>
      <c r="V7">
        <f>VLOOKUP(C7,'Cloud SQL'!$1:$1048576,10,FALSE)</f>
        <v>19</v>
      </c>
      <c r="W7">
        <f>VLOOKUP(C7,'AlloyDB for PostgreSQL'!$1:$1048576,10,FALSE)</f>
        <v>29</v>
      </c>
      <c r="X7">
        <f>VLOOKUP(C7,Spanner!$1:$1048576,10,FALSE)</f>
        <v>24</v>
      </c>
      <c r="Y7">
        <f>VLOOKUP(C7,Oracle!$1:$1048576,10,FALSE)</f>
        <v>19</v>
      </c>
      <c r="Z7">
        <f>VLOOKUP(C7,'Google Compute Engine'!$1:$1048576,10,FALSE)</f>
        <v>34</v>
      </c>
      <c r="AA7">
        <f>VLOOKUP(C7,'Google Cloud Networking'!$1:$1048576,10,FALSE)</f>
        <v>29</v>
      </c>
      <c r="AB7">
        <f>VLOOKUP(C7,'SAP on Google Cloud'!$1:$1048576,10,FALSE)</f>
        <v>19</v>
      </c>
      <c r="AC7">
        <f>VLOOKUP(C7,'Google Cloud VMware Engine'!$1:$1048576,10,FALSE)</f>
        <v>19</v>
      </c>
      <c r="AD7">
        <f>VLOOKUP(C7,'Google Distributed Cloud'!$1:$1048576,10,FALSE)</f>
        <v>24</v>
      </c>
      <c r="AE7">
        <f>VLOOKUP(C7,'Cloud Security'!$1:$1048576,10,FALSE)</f>
        <v>0</v>
      </c>
      <c r="AF7">
        <f>VLOOKUP(C7,'Security Command Center'!$1:$1048576,10,FALSE)</f>
        <v>0</v>
      </c>
      <c r="AG7">
        <f>VLOOKUP(C7,'Security Operations'!$1:$1048576,10,FALSE)</f>
        <v>0</v>
      </c>
      <c r="AH7">
        <f>VLOOKUP(C7,'Google Threat Intelligence'!$1:$1048576,10,FALSE)</f>
        <v>0</v>
      </c>
      <c r="AI7">
        <f>VLOOKUP(C7,'Vertex AI Platform'!$1:$1048576,10,FALSE)</f>
        <v>0</v>
      </c>
      <c r="AJ7">
        <f>VLOOKUP(C7,'AI Applications'!$1:$1048576,10,FALSE)</f>
        <v>19</v>
      </c>
      <c r="AK7">
        <f>VLOOKUP(C7,'Gemini Enterprise'!$1:$1048576,10,FALSE)</f>
        <v>14</v>
      </c>
      <c r="AL7">
        <f>VLOOKUP(C7,'Customer Engagement Suite'!$1:$1048576,10,FALSE)</f>
        <v>0</v>
      </c>
      <c r="AM7">
        <f t="shared" si="0"/>
        <v>354</v>
      </c>
    </row>
    <row r="8" spans="1:39">
      <c r="A8" s="5" t="s">
        <v>118</v>
      </c>
      <c r="B8" s="5" t="s">
        <v>89</v>
      </c>
      <c r="C8" s="6" t="s">
        <v>7</v>
      </c>
      <c r="D8" s="7" t="s">
        <v>119</v>
      </c>
      <c r="E8" s="7" t="s">
        <v>120</v>
      </c>
      <c r="F8" s="7" t="s">
        <v>121</v>
      </c>
      <c r="G8" s="5" t="s">
        <v>102</v>
      </c>
      <c r="H8" s="5" t="s">
        <v>122</v>
      </c>
      <c r="I8" s="7" t="s">
        <v>78</v>
      </c>
      <c r="J8" s="7" t="s">
        <v>95</v>
      </c>
      <c r="K8" s="7" t="s">
        <v>96</v>
      </c>
      <c r="L8" s="6" t="s">
        <v>24</v>
      </c>
      <c r="M8" s="10"/>
      <c r="N8">
        <f>VLOOKUP(C8,BigQuery!$1:$1048576,10,FALSE)</f>
        <v>34</v>
      </c>
      <c r="O8">
        <f>VLOOKUP(C8,Looker!$1:$1048576,10,FALSE)</f>
        <v>19</v>
      </c>
      <c r="P8">
        <f>VLOOKUP(C8,Dataflow!$1:$1048576,10,FALSE)</f>
        <v>34</v>
      </c>
      <c r="Q8">
        <f>VLOOKUP(C8,Dataproc!$1:$1048576,10,FALSE)</f>
        <v>24</v>
      </c>
      <c r="R8">
        <f>VLOOKUP(C8,'Google Kubernetes Engine'!$1:$1048576,10,FALSE)</f>
        <v>0</v>
      </c>
      <c r="S8">
        <f>VLOOKUP(C8,'Apigee API Management'!$1:$1048576,10,FALSE)</f>
        <v>0</v>
      </c>
      <c r="T8">
        <f>VLOOKUP(C8,'Cloud Run'!$1:$1048576,10,FALSE)</f>
        <v>0</v>
      </c>
      <c r="U8">
        <f>VLOOKUP(C8,Workspace!$1:$1048576,10,FALSE)</f>
        <v>0</v>
      </c>
      <c r="V8">
        <f>VLOOKUP(C8,'Cloud SQL'!$1:$1048576,10,FALSE)</f>
        <v>0</v>
      </c>
      <c r="W8">
        <f>VLOOKUP(C8,'AlloyDB for PostgreSQL'!$1:$1048576,10,FALSE)</f>
        <v>0</v>
      </c>
      <c r="X8">
        <f>VLOOKUP(C8,Spanner!$1:$1048576,10,FALSE)</f>
        <v>0</v>
      </c>
      <c r="Y8">
        <f>VLOOKUP(C8,Oracle!$1:$1048576,10,FALSE)</f>
        <v>0</v>
      </c>
      <c r="Z8">
        <f>VLOOKUP(C8,'Google Compute Engine'!$1:$1048576,10,FALSE)</f>
        <v>0</v>
      </c>
      <c r="AA8">
        <f>VLOOKUP(C8,'Google Cloud Networking'!$1:$1048576,10,FALSE)</f>
        <v>0</v>
      </c>
      <c r="AB8">
        <f>VLOOKUP(C8,'SAP on Google Cloud'!$1:$1048576,10,FALSE)</f>
        <v>0</v>
      </c>
      <c r="AC8">
        <f>VLOOKUP(C8,'Google Cloud VMware Engine'!$1:$1048576,10,FALSE)</f>
        <v>0</v>
      </c>
      <c r="AD8">
        <f>VLOOKUP(C8,'Google Distributed Cloud'!$1:$1048576,10,FALSE)</f>
        <v>0</v>
      </c>
      <c r="AE8">
        <f>VLOOKUP(C8,'Cloud Security'!$1:$1048576,10,FALSE)</f>
        <v>0</v>
      </c>
      <c r="AF8">
        <f>VLOOKUP(C8,'Security Command Center'!$1:$1048576,10,FALSE)</f>
        <v>0</v>
      </c>
      <c r="AG8">
        <f>VLOOKUP(C8,'Security Operations'!$1:$1048576,10,FALSE)</f>
        <v>0</v>
      </c>
      <c r="AH8">
        <f>VLOOKUP(C8,'Google Threat Intelligence'!$1:$1048576,10,FALSE)</f>
        <v>0</v>
      </c>
      <c r="AI8">
        <f>VLOOKUP(C8,'Vertex AI Platform'!$1:$1048576,10,FALSE)</f>
        <v>49</v>
      </c>
      <c r="AJ8">
        <f>VLOOKUP(C8,'AI Applications'!$1:$1048576,10,FALSE)</f>
        <v>19</v>
      </c>
      <c r="AK8">
        <f>VLOOKUP(C8,'Gemini Enterprise'!$1:$1048576,10,FALSE)</f>
        <v>19</v>
      </c>
      <c r="AL8">
        <f>VLOOKUP(C8,'Customer Engagement Suite'!$1:$1048576,10,FALSE)</f>
        <v>19</v>
      </c>
      <c r="AM8">
        <f t="shared" si="0"/>
        <v>217</v>
      </c>
    </row>
    <row r="9" spans="1:39">
      <c r="A9" s="5" t="s">
        <v>123</v>
      </c>
      <c r="B9" s="5" t="s">
        <v>89</v>
      </c>
      <c r="C9" s="6" t="s">
        <v>124</v>
      </c>
      <c r="D9" s="7" t="s">
        <v>73</v>
      </c>
      <c r="E9" s="7" t="s">
        <v>74</v>
      </c>
      <c r="F9" s="7" t="s">
        <v>125</v>
      </c>
      <c r="G9" s="5" t="s">
        <v>76</v>
      </c>
      <c r="H9" s="5" t="s">
        <v>126</v>
      </c>
      <c r="I9" s="7" t="s">
        <v>78</v>
      </c>
      <c r="J9" s="7" t="s">
        <v>86</v>
      </c>
      <c r="K9" s="7" t="s">
        <v>127</v>
      </c>
      <c r="L9" s="6" t="s">
        <v>111</v>
      </c>
      <c r="M9" s="10"/>
      <c r="N9">
        <f>VLOOKUP(C9,BigQuery!$1:$1048576,10,FALSE)</f>
        <v>0</v>
      </c>
      <c r="O9">
        <f>VLOOKUP(C9,Looker!$1:$1048576,10,FALSE)</f>
        <v>0</v>
      </c>
      <c r="P9">
        <f>VLOOKUP(C9,Dataflow!$1:$1048576,10,FALSE)</f>
        <v>0</v>
      </c>
      <c r="Q9">
        <f>VLOOKUP(C9,Dataproc!$1:$1048576,10,FALSE)</f>
        <v>0</v>
      </c>
      <c r="R9">
        <f>VLOOKUP(C9,'Google Kubernetes Engine'!$1:$1048576,10,FALSE)</f>
        <v>0</v>
      </c>
      <c r="S9">
        <f>VLOOKUP(C9,'Apigee API Management'!$1:$1048576,10,FALSE)</f>
        <v>0</v>
      </c>
      <c r="T9">
        <f>VLOOKUP(C9,'Cloud Run'!$1:$1048576,10,FALSE)</f>
        <v>0</v>
      </c>
      <c r="U9">
        <f>VLOOKUP(C9,Workspace!$1:$1048576,10,FALSE)</f>
        <v>0</v>
      </c>
      <c r="V9">
        <f>VLOOKUP(C9,'Cloud SQL'!$1:$1048576,10,FALSE)</f>
        <v>0</v>
      </c>
      <c r="W9">
        <f>VLOOKUP(C9,'AlloyDB for PostgreSQL'!$1:$1048576,10,FALSE)</f>
        <v>0</v>
      </c>
      <c r="X9">
        <f>VLOOKUP(C9,Spanner!$1:$1048576,10,FALSE)</f>
        <v>0</v>
      </c>
      <c r="Y9">
        <f>VLOOKUP(C9,Oracle!$1:$1048576,10,FALSE)</f>
        <v>0</v>
      </c>
      <c r="Z9">
        <f>VLOOKUP(C9,'Google Compute Engine'!$1:$1048576,10,FALSE)</f>
        <v>0</v>
      </c>
      <c r="AA9">
        <f>VLOOKUP(C9,'Google Cloud Networking'!$1:$1048576,10,FALSE)</f>
        <v>0</v>
      </c>
      <c r="AB9">
        <f>VLOOKUP(C9,'SAP on Google Cloud'!$1:$1048576,10,FALSE)</f>
        <v>0</v>
      </c>
      <c r="AC9">
        <f>VLOOKUP(C9,'Google Cloud VMware Engine'!$1:$1048576,10,FALSE)</f>
        <v>0</v>
      </c>
      <c r="AD9">
        <f>VLOOKUP(C9,'Google Distributed Cloud'!$1:$1048576,10,FALSE)</f>
        <v>0</v>
      </c>
      <c r="AE9">
        <f>VLOOKUP(C9,'Cloud Security'!$1:$1048576,10,FALSE)</f>
        <v>0</v>
      </c>
      <c r="AF9">
        <f>VLOOKUP(C9,'Security Command Center'!$1:$1048576,10,FALSE)</f>
        <v>0</v>
      </c>
      <c r="AG9">
        <f>VLOOKUP(C9,'Security Operations'!$1:$1048576,10,FALSE)</f>
        <v>0</v>
      </c>
      <c r="AH9">
        <f>VLOOKUP(C9,'Google Threat Intelligence'!$1:$1048576,10,FALSE)</f>
        <v>0</v>
      </c>
      <c r="AI9">
        <f>VLOOKUP(C9,'Vertex AI Platform'!$1:$1048576,10,FALSE)</f>
        <v>0</v>
      </c>
      <c r="AJ9">
        <f>VLOOKUP(C9,'AI Applications'!$1:$1048576,10,FALSE)</f>
        <v>0</v>
      </c>
      <c r="AK9">
        <f>VLOOKUP(C9,'Gemini Enterprise'!$1:$1048576,10,FALSE)</f>
        <v>0</v>
      </c>
      <c r="AL9">
        <f>VLOOKUP(C9,'Customer Engagement Suite'!$1:$1048576,10,FALSE)</f>
        <v>0</v>
      </c>
      <c r="AM9">
        <f t="shared" si="0"/>
        <v>0</v>
      </c>
    </row>
    <row r="10" spans="1:39">
      <c r="A10" s="5" t="s">
        <v>128</v>
      </c>
      <c r="B10" s="5" t="s">
        <v>89</v>
      </c>
      <c r="C10" s="6" t="s">
        <v>24</v>
      </c>
      <c r="D10" s="7" t="s">
        <v>105</v>
      </c>
      <c r="E10" s="7" t="s">
        <v>106</v>
      </c>
      <c r="F10" s="7" t="s">
        <v>121</v>
      </c>
      <c r="G10" s="5" t="s">
        <v>102</v>
      </c>
      <c r="H10" s="5" t="s">
        <v>122</v>
      </c>
      <c r="I10" s="7" t="s">
        <v>78</v>
      </c>
      <c r="J10" s="7" t="s">
        <v>95</v>
      </c>
      <c r="K10" s="7" t="s">
        <v>96</v>
      </c>
      <c r="L10" s="6" t="s">
        <v>24</v>
      </c>
      <c r="M10" s="10"/>
      <c r="N10">
        <f>VLOOKUP(C10,BigQuery!$1:$1048576,10,FALSE)</f>
        <v>0</v>
      </c>
      <c r="O10">
        <f>VLOOKUP(C10,Looker!$1:$1048576,10,FALSE)</f>
        <v>0</v>
      </c>
      <c r="P10">
        <f>VLOOKUP(C10,Dataflow!$1:$1048576,10,FALSE)</f>
        <v>0</v>
      </c>
      <c r="Q10">
        <f>VLOOKUP(C10,Dataproc!$1:$1048576,10,FALSE)</f>
        <v>0</v>
      </c>
      <c r="R10">
        <f>VLOOKUP(C10,'Google Kubernetes Engine'!$1:$1048576,10,FALSE)</f>
        <v>0</v>
      </c>
      <c r="S10">
        <f>VLOOKUP(C10,'Apigee API Management'!$1:$1048576,10,FALSE)</f>
        <v>0</v>
      </c>
      <c r="T10">
        <f>VLOOKUP(C10,'Cloud Run'!$1:$1048576,10,FALSE)</f>
        <v>0</v>
      </c>
      <c r="U10">
        <f>VLOOKUP(C10,Workspace!$1:$1048576,10,FALSE)</f>
        <v>0</v>
      </c>
      <c r="V10">
        <f>VLOOKUP(C10,'Cloud SQL'!$1:$1048576,10,FALSE)</f>
        <v>0</v>
      </c>
      <c r="W10">
        <f>VLOOKUP(C10,'AlloyDB for PostgreSQL'!$1:$1048576,10,FALSE)</f>
        <v>0</v>
      </c>
      <c r="X10">
        <f>VLOOKUP(C10,Spanner!$1:$1048576,10,FALSE)</f>
        <v>0</v>
      </c>
      <c r="Y10">
        <f>VLOOKUP(C10,Oracle!$1:$1048576,10,FALSE)</f>
        <v>0</v>
      </c>
      <c r="Z10">
        <f>VLOOKUP(C10,'Google Compute Engine'!$1:$1048576,10,FALSE)</f>
        <v>0</v>
      </c>
      <c r="AA10">
        <f>VLOOKUP(C10,'Google Cloud Networking'!$1:$1048576,10,FALSE)</f>
        <v>0</v>
      </c>
      <c r="AB10">
        <f>VLOOKUP(C10,'SAP on Google Cloud'!$1:$1048576,10,FALSE)</f>
        <v>0</v>
      </c>
      <c r="AC10">
        <f>VLOOKUP(C10,'Google Cloud VMware Engine'!$1:$1048576,10,FALSE)</f>
        <v>0</v>
      </c>
      <c r="AD10">
        <f>VLOOKUP(C10,'Google Distributed Cloud'!$1:$1048576,10,FALSE)</f>
        <v>0</v>
      </c>
      <c r="AE10">
        <f>VLOOKUP(C10,'Cloud Security'!$1:$1048576,10,FALSE)</f>
        <v>0</v>
      </c>
      <c r="AF10">
        <f>VLOOKUP(C10,'Security Command Center'!$1:$1048576,10,FALSE)</f>
        <v>0</v>
      </c>
      <c r="AG10">
        <f>VLOOKUP(C10,'Security Operations'!$1:$1048576,10,FALSE)</f>
        <v>0</v>
      </c>
      <c r="AH10">
        <f>VLOOKUP(C10,'Google Threat Intelligence'!$1:$1048576,10,FALSE)</f>
        <v>0</v>
      </c>
      <c r="AI10">
        <f>VLOOKUP(C10,'Vertex AI Platform'!$1:$1048576,10,FALSE)</f>
        <v>10</v>
      </c>
      <c r="AJ10">
        <f>VLOOKUP(C10,'AI Applications'!$1:$1048576,10,FALSE)</f>
        <v>0</v>
      </c>
      <c r="AK10">
        <f>VLOOKUP(C10,'Gemini Enterprise'!$1:$1048576,10,FALSE)</f>
        <v>0</v>
      </c>
      <c r="AL10">
        <f>VLOOKUP(C10,'Customer Engagement Suite'!$1:$1048576,10,FALSE)</f>
        <v>0</v>
      </c>
      <c r="AM10">
        <f t="shared" si="0"/>
        <v>10</v>
      </c>
    </row>
    <row r="11" spans="1:39">
      <c r="A11" s="5" t="s">
        <v>129</v>
      </c>
      <c r="B11" s="5" t="s">
        <v>99</v>
      </c>
      <c r="C11" s="6" t="s">
        <v>130</v>
      </c>
      <c r="D11" s="5" t="s">
        <v>131</v>
      </c>
      <c r="E11" s="5" t="s">
        <v>132</v>
      </c>
      <c r="F11" s="5" t="s">
        <v>133</v>
      </c>
      <c r="G11" s="5" t="s">
        <v>102</v>
      </c>
      <c r="H11" s="5" t="s">
        <v>103</v>
      </c>
      <c r="I11" s="5" t="s">
        <v>78</v>
      </c>
      <c r="J11" s="5" t="s">
        <v>86</v>
      </c>
      <c r="K11" s="5" t="s">
        <v>87</v>
      </c>
      <c r="L11" s="6" t="s">
        <v>6</v>
      </c>
      <c r="M11" s="10"/>
      <c r="N11">
        <f>VLOOKUP(C11,BigQuery!$1:$1048576,10,FALSE)</f>
        <v>0</v>
      </c>
      <c r="O11">
        <f>VLOOKUP(C11,Looker!$1:$1048576,10,FALSE)</f>
        <v>0</v>
      </c>
      <c r="P11">
        <f>VLOOKUP(C11,Dataflow!$1:$1048576,10,FALSE)</f>
        <v>0</v>
      </c>
      <c r="Q11">
        <f>VLOOKUP(C11,Dataproc!$1:$1048576,10,FALSE)</f>
        <v>0</v>
      </c>
      <c r="R11">
        <f>VLOOKUP(C11,'Google Kubernetes Engine'!$1:$1048576,10,FALSE)</f>
        <v>0</v>
      </c>
      <c r="S11">
        <f>VLOOKUP(C11,'Apigee API Management'!$1:$1048576,10,FALSE)</f>
        <v>0</v>
      </c>
      <c r="T11">
        <f>VLOOKUP(C11,'Cloud Run'!$1:$1048576,10,FALSE)</f>
        <v>0</v>
      </c>
      <c r="U11">
        <f>VLOOKUP(C11,Workspace!$1:$1048576,10,FALSE)</f>
        <v>0</v>
      </c>
      <c r="V11">
        <f>VLOOKUP(C11,'Cloud SQL'!$1:$1048576,10,FALSE)</f>
        <v>0</v>
      </c>
      <c r="W11">
        <f>VLOOKUP(C11,'AlloyDB for PostgreSQL'!$1:$1048576,10,FALSE)</f>
        <v>0</v>
      </c>
      <c r="X11">
        <f>VLOOKUP(C11,Spanner!$1:$1048576,10,FALSE)</f>
        <v>0</v>
      </c>
      <c r="Y11">
        <f>VLOOKUP(C11,Oracle!$1:$1048576,10,FALSE)</f>
        <v>0</v>
      </c>
      <c r="Z11">
        <f>VLOOKUP(C11,'Google Compute Engine'!$1:$1048576,10,FALSE)</f>
        <v>0</v>
      </c>
      <c r="AA11">
        <f>VLOOKUP(C11,'Google Cloud Networking'!$1:$1048576,10,FALSE)</f>
        <v>0</v>
      </c>
      <c r="AB11">
        <f>VLOOKUP(C11,'SAP on Google Cloud'!$1:$1048576,10,FALSE)</f>
        <v>0</v>
      </c>
      <c r="AC11">
        <f>VLOOKUP(C11,'Google Cloud VMware Engine'!$1:$1048576,10,FALSE)</f>
        <v>0</v>
      </c>
      <c r="AD11">
        <f>VLOOKUP(C11,'Google Distributed Cloud'!$1:$1048576,10,FALSE)</f>
        <v>0</v>
      </c>
      <c r="AE11">
        <f>VLOOKUP(C11,'Cloud Security'!$1:$1048576,10,FALSE)</f>
        <v>0</v>
      </c>
      <c r="AF11">
        <f>VLOOKUP(C11,'Security Command Center'!$1:$1048576,10,FALSE)</f>
        <v>0</v>
      </c>
      <c r="AG11">
        <f>VLOOKUP(C11,'Security Operations'!$1:$1048576,10,FALSE)</f>
        <v>0</v>
      </c>
      <c r="AH11">
        <f>VLOOKUP(C11,'Google Threat Intelligence'!$1:$1048576,10,FALSE)</f>
        <v>0</v>
      </c>
      <c r="AI11">
        <f>VLOOKUP(C11,'Vertex AI Platform'!$1:$1048576,10,FALSE)</f>
        <v>0</v>
      </c>
      <c r="AJ11">
        <f>VLOOKUP(C11,'AI Applications'!$1:$1048576,10,FALSE)</f>
        <v>0</v>
      </c>
      <c r="AK11">
        <f>VLOOKUP(C11,'Gemini Enterprise'!$1:$1048576,10,FALSE)</f>
        <v>0</v>
      </c>
      <c r="AL11" t="e">
        <f>VLOOKUP(C11,'Customer Engagement Suite'!$1:$1048576,10,FALSE)</f>
        <v>#N/A</v>
      </c>
      <c r="AM11" t="e">
        <f t="shared" si="0"/>
        <v>#N/A</v>
      </c>
    </row>
    <row r="12" spans="1:39">
      <c r="A12" s="5" t="s">
        <v>134</v>
      </c>
      <c r="B12" s="5" t="s">
        <v>99</v>
      </c>
      <c r="C12" s="6" t="s">
        <v>23</v>
      </c>
      <c r="D12" s="7" t="s">
        <v>135</v>
      </c>
      <c r="E12" s="7" t="s">
        <v>116</v>
      </c>
      <c r="F12" s="7" t="s">
        <v>136</v>
      </c>
      <c r="G12" s="5" t="s">
        <v>102</v>
      </c>
      <c r="H12" s="5" t="s">
        <v>108</v>
      </c>
      <c r="I12" s="5" t="s">
        <v>78</v>
      </c>
      <c r="J12" s="7" t="s">
        <v>137</v>
      </c>
      <c r="K12" s="7" t="s">
        <v>110</v>
      </c>
      <c r="L12" s="6" t="s">
        <v>111</v>
      </c>
      <c r="M12" s="10" t="s">
        <v>112</v>
      </c>
      <c r="N12">
        <f>VLOOKUP(C12,BigQuery!$1:$1048576,10,FALSE)</f>
        <v>0</v>
      </c>
      <c r="O12">
        <f>VLOOKUP(C12,Looker!$1:$1048576,10,FALSE)</f>
        <v>0</v>
      </c>
      <c r="P12">
        <f>VLOOKUP(C12,Dataflow!$1:$1048576,10,FALSE)</f>
        <v>0</v>
      </c>
      <c r="Q12">
        <f>VLOOKUP(C12,Dataproc!$1:$1048576,10,FALSE)</f>
        <v>0</v>
      </c>
      <c r="R12">
        <f>VLOOKUP(C12,'Google Kubernetes Engine'!$1:$1048576,10,FALSE)</f>
        <v>0</v>
      </c>
      <c r="S12">
        <f>VLOOKUP(C12,'Apigee API Management'!$1:$1048576,10,FALSE)</f>
        <v>0</v>
      </c>
      <c r="T12">
        <f>VLOOKUP(C12,'Cloud Run'!$1:$1048576,10,FALSE)</f>
        <v>9</v>
      </c>
      <c r="U12">
        <f>VLOOKUP(C12,Workspace!$1:$1048576,10,FALSE)</f>
        <v>0</v>
      </c>
      <c r="V12">
        <f>VLOOKUP(C12,'Cloud SQL'!$1:$1048576,10,FALSE)</f>
        <v>9</v>
      </c>
      <c r="W12">
        <f>VLOOKUP(C12,'AlloyDB for PostgreSQL'!$1:$1048576,10,FALSE)</f>
        <v>0</v>
      </c>
      <c r="X12">
        <f>VLOOKUP(C12,Spanner!$1:$1048576,10,FALSE)</f>
        <v>0</v>
      </c>
      <c r="Y12">
        <f>VLOOKUP(C12,Oracle!$1:$1048576,10,FALSE)</f>
        <v>0</v>
      </c>
      <c r="Z12">
        <f>VLOOKUP(C12,'Google Compute Engine'!$1:$1048576,10,FALSE)</f>
        <v>0</v>
      </c>
      <c r="AA12">
        <f>VLOOKUP(C12,'Google Cloud Networking'!$1:$1048576,10,FALSE)</f>
        <v>0</v>
      </c>
      <c r="AB12">
        <f>VLOOKUP(C12,'SAP on Google Cloud'!$1:$1048576,10,FALSE)</f>
        <v>0</v>
      </c>
      <c r="AC12">
        <f>VLOOKUP(C12,'Google Cloud VMware Engine'!$1:$1048576,10,FALSE)</f>
        <v>0</v>
      </c>
      <c r="AD12">
        <f>VLOOKUP(C12,'Google Distributed Cloud'!$1:$1048576,10,FALSE)</f>
        <v>0</v>
      </c>
      <c r="AE12">
        <f>VLOOKUP(C12,'Cloud Security'!$1:$1048576,10,FALSE)</f>
        <v>0</v>
      </c>
      <c r="AF12">
        <f>VLOOKUP(C12,'Security Command Center'!$1:$1048576,10,FALSE)</f>
        <v>0</v>
      </c>
      <c r="AG12">
        <f>VLOOKUP(C12,'Security Operations'!$1:$1048576,10,FALSE)</f>
        <v>0</v>
      </c>
      <c r="AH12">
        <f>VLOOKUP(C12,'Google Threat Intelligence'!$1:$1048576,10,FALSE)</f>
        <v>0</v>
      </c>
      <c r="AI12">
        <f>VLOOKUP(C12,'Vertex AI Platform'!$1:$1048576,10,FALSE)</f>
        <v>0</v>
      </c>
      <c r="AJ12">
        <f>VLOOKUP(C12,'AI Applications'!$1:$1048576,10,FALSE)</f>
        <v>0</v>
      </c>
      <c r="AK12">
        <f>VLOOKUP(C12,'Gemini Enterprise'!$1:$1048576,10,FALSE)</f>
        <v>0</v>
      </c>
      <c r="AL12">
        <f>VLOOKUP(C12,'Customer Engagement Suite'!$1:$1048576,10,FALSE)</f>
        <v>0</v>
      </c>
      <c r="AM12">
        <f t="shared" si="0"/>
        <v>18</v>
      </c>
    </row>
    <row r="13" spans="1:39">
      <c r="A13" s="5" t="s">
        <v>138</v>
      </c>
      <c r="B13" s="5" t="s">
        <v>114</v>
      </c>
      <c r="C13" s="6" t="s">
        <v>19</v>
      </c>
      <c r="D13" s="7" t="s">
        <v>115</v>
      </c>
      <c r="E13" s="7" t="s">
        <v>116</v>
      </c>
      <c r="F13" s="7" t="s">
        <v>139</v>
      </c>
      <c r="G13" s="5" t="s">
        <v>102</v>
      </c>
      <c r="H13" s="5" t="s">
        <v>103</v>
      </c>
      <c r="I13" s="7" t="s">
        <v>78</v>
      </c>
      <c r="J13" s="7" t="s">
        <v>86</v>
      </c>
      <c r="K13" s="7" t="s">
        <v>87</v>
      </c>
      <c r="L13" s="6" t="s">
        <v>6</v>
      </c>
      <c r="M13" s="10"/>
      <c r="N13">
        <f>VLOOKUP(C13,BigQuery!$1:$1048576,10,FALSE)</f>
        <v>18</v>
      </c>
      <c r="O13">
        <f>VLOOKUP(C13,Looker!$1:$1048576,10,FALSE)</f>
        <v>0</v>
      </c>
      <c r="P13">
        <f>VLOOKUP(C13,Dataflow!$1:$1048576,10,FALSE)</f>
        <v>18</v>
      </c>
      <c r="Q13">
        <f>VLOOKUP(C13,Dataproc!$1:$1048576,10,FALSE)</f>
        <v>8</v>
      </c>
      <c r="R13">
        <f>VLOOKUP(C13,'Google Kubernetes Engine'!$1:$1048576,10,FALSE)</f>
        <v>0</v>
      </c>
      <c r="S13">
        <f>VLOOKUP(C13,'Apigee API Management'!$1:$1048576,10,FALSE)</f>
        <v>0</v>
      </c>
      <c r="T13">
        <f>VLOOKUP(C13,'Cloud Run'!$1:$1048576,10,FALSE)</f>
        <v>0</v>
      </c>
      <c r="U13">
        <f>VLOOKUP(C13,Workspace!$1:$1048576,10,FALSE)</f>
        <v>0</v>
      </c>
      <c r="V13">
        <f>VLOOKUP(C13,'Cloud SQL'!$1:$1048576,10,FALSE)</f>
        <v>0</v>
      </c>
      <c r="W13">
        <f>VLOOKUP(C13,'AlloyDB for PostgreSQL'!$1:$1048576,10,FALSE)</f>
        <v>0</v>
      </c>
      <c r="X13">
        <f>VLOOKUP(C13,Spanner!$1:$1048576,10,FALSE)</f>
        <v>0</v>
      </c>
      <c r="Y13">
        <f>VLOOKUP(C13,Oracle!$1:$1048576,10,FALSE)</f>
        <v>0</v>
      </c>
      <c r="Z13">
        <f>VLOOKUP(C13,'Google Compute Engine'!$1:$1048576,10,FALSE)</f>
        <v>0</v>
      </c>
      <c r="AA13">
        <f>VLOOKUP(C13,'Google Cloud Networking'!$1:$1048576,10,FALSE)</f>
        <v>0</v>
      </c>
      <c r="AB13">
        <f>VLOOKUP(C13,'SAP on Google Cloud'!$1:$1048576,10,FALSE)</f>
        <v>0</v>
      </c>
      <c r="AC13">
        <f>VLOOKUP(C13,'Google Cloud VMware Engine'!$1:$1048576,10,FALSE)</f>
        <v>0</v>
      </c>
      <c r="AD13">
        <f>VLOOKUP(C13,'Google Distributed Cloud'!$1:$1048576,10,FALSE)</f>
        <v>0</v>
      </c>
      <c r="AE13">
        <f>VLOOKUP(C13,'Cloud Security'!$1:$1048576,10,FALSE)</f>
        <v>0</v>
      </c>
      <c r="AF13">
        <f>VLOOKUP(C13,'Security Command Center'!$1:$1048576,10,FALSE)</f>
        <v>0</v>
      </c>
      <c r="AG13">
        <f>VLOOKUP(C13,'Security Operations'!$1:$1048576,10,FALSE)</f>
        <v>0</v>
      </c>
      <c r="AH13">
        <f>VLOOKUP(C13,'Google Threat Intelligence'!$1:$1048576,10,FALSE)</f>
        <v>0</v>
      </c>
      <c r="AI13">
        <f>VLOOKUP(C13,'Vertex AI Platform'!$1:$1048576,10,FALSE)</f>
        <v>0</v>
      </c>
      <c r="AJ13">
        <f>VLOOKUP(C13,'AI Applications'!$1:$1048576,10,FALSE)</f>
        <v>0</v>
      </c>
      <c r="AK13">
        <f>VLOOKUP(C13,'Gemini Enterprise'!$1:$1048576,10,FALSE)</f>
        <v>0</v>
      </c>
      <c r="AL13">
        <f>VLOOKUP(C13,'Customer Engagement Suite'!$1:$1048576,10,FALSE)</f>
        <v>0</v>
      </c>
      <c r="AM13">
        <f t="shared" si="0"/>
        <v>44</v>
      </c>
    </row>
    <row r="14" spans="1:39">
      <c r="A14" s="5" t="s">
        <v>140</v>
      </c>
      <c r="B14" s="5" t="s">
        <v>99</v>
      </c>
      <c r="C14" s="6" t="s">
        <v>141</v>
      </c>
      <c r="D14" s="7" t="s">
        <v>82</v>
      </c>
      <c r="E14" s="7" t="s">
        <v>83</v>
      </c>
      <c r="F14" s="7" t="s">
        <v>142</v>
      </c>
      <c r="G14" s="5" t="s">
        <v>102</v>
      </c>
      <c r="H14" s="5" t="s">
        <v>103</v>
      </c>
      <c r="I14" s="7" t="s">
        <v>78</v>
      </c>
      <c r="J14" s="7" t="s">
        <v>79</v>
      </c>
      <c r="K14" s="7" t="s">
        <v>87</v>
      </c>
      <c r="L14" s="6" t="s">
        <v>6</v>
      </c>
      <c r="M14" s="10"/>
      <c r="N14">
        <f>VLOOKUP(C14,BigQuery!$1:$1048576,10,FALSE)</f>
        <v>0</v>
      </c>
      <c r="O14">
        <f>VLOOKUP(C14,Looker!$1:$1048576,10,FALSE)</f>
        <v>0</v>
      </c>
      <c r="P14">
        <f>VLOOKUP(C14,Dataflow!$1:$1048576,10,FALSE)</f>
        <v>0</v>
      </c>
      <c r="Q14">
        <f>VLOOKUP(C14,Dataproc!$1:$1048576,10,FALSE)</f>
        <v>0</v>
      </c>
      <c r="R14">
        <f>VLOOKUP(C14,'Google Kubernetes Engine'!$1:$1048576,10,FALSE)</f>
        <v>0</v>
      </c>
      <c r="S14">
        <f>VLOOKUP(C14,'Apigee API Management'!$1:$1048576,10,FALSE)</f>
        <v>0</v>
      </c>
      <c r="T14">
        <f>VLOOKUP(C14,'Cloud Run'!$1:$1048576,10,FALSE)</f>
        <v>0</v>
      </c>
      <c r="U14">
        <f>VLOOKUP(C14,Workspace!$1:$1048576,10,FALSE)</f>
        <v>0</v>
      </c>
      <c r="V14">
        <f>VLOOKUP(C14,'Cloud SQL'!$1:$1048576,10,FALSE)</f>
        <v>0</v>
      </c>
      <c r="W14">
        <f>VLOOKUP(C14,'AlloyDB for PostgreSQL'!$1:$1048576,10,FALSE)</f>
        <v>0</v>
      </c>
      <c r="X14">
        <f>VLOOKUP(C14,Spanner!$1:$1048576,10,FALSE)</f>
        <v>0</v>
      </c>
      <c r="Y14">
        <f>VLOOKUP(C14,Oracle!$1:$1048576,10,FALSE)</f>
        <v>0</v>
      </c>
      <c r="Z14">
        <f>VLOOKUP(C14,'Google Compute Engine'!$1:$1048576,10,FALSE)</f>
        <v>0</v>
      </c>
      <c r="AA14">
        <f>VLOOKUP(C14,'Google Cloud Networking'!$1:$1048576,10,FALSE)</f>
        <v>0</v>
      </c>
      <c r="AB14">
        <f>VLOOKUP(C14,'SAP on Google Cloud'!$1:$1048576,10,FALSE)</f>
        <v>0</v>
      </c>
      <c r="AC14">
        <f>VLOOKUP(C14,'Google Cloud VMware Engine'!$1:$1048576,10,FALSE)</f>
        <v>0</v>
      </c>
      <c r="AD14">
        <f>VLOOKUP(C14,'Google Distributed Cloud'!$1:$1048576,10,FALSE)</f>
        <v>0</v>
      </c>
      <c r="AE14">
        <f>VLOOKUP(C14,'Cloud Security'!$1:$1048576,10,FALSE)</f>
        <v>0</v>
      </c>
      <c r="AF14">
        <f>VLOOKUP(C14,'Security Command Center'!$1:$1048576,10,FALSE)</f>
        <v>0</v>
      </c>
      <c r="AG14">
        <f>VLOOKUP(C14,'Security Operations'!$1:$1048576,10,FALSE)</f>
        <v>0</v>
      </c>
      <c r="AH14">
        <f>VLOOKUP(C14,'Google Threat Intelligence'!$1:$1048576,10,FALSE)</f>
        <v>0</v>
      </c>
      <c r="AI14">
        <f>VLOOKUP(C14,'Vertex AI Platform'!$1:$1048576,10,FALSE)</f>
        <v>0</v>
      </c>
      <c r="AJ14">
        <f>VLOOKUP(C14,'AI Applications'!$1:$1048576,10,FALSE)</f>
        <v>0</v>
      </c>
      <c r="AK14">
        <f>VLOOKUP(C14,'Gemini Enterprise'!$1:$1048576,10,FALSE)</f>
        <v>0</v>
      </c>
      <c r="AL14">
        <f>VLOOKUP(C14,'Customer Engagement Suite'!$1:$1048576,10,FALSE)</f>
        <v>0</v>
      </c>
      <c r="AM14">
        <f t="shared" si="0"/>
        <v>0</v>
      </c>
    </row>
    <row r="15" spans="1:39">
      <c r="A15" s="5" t="s">
        <v>143</v>
      </c>
      <c r="B15" s="5" t="s">
        <v>99</v>
      </c>
      <c r="C15" s="6" t="s">
        <v>30</v>
      </c>
      <c r="D15" s="7" t="s">
        <v>135</v>
      </c>
      <c r="E15" s="7" t="s">
        <v>116</v>
      </c>
      <c r="F15" s="7" t="s">
        <v>144</v>
      </c>
      <c r="G15" s="5" t="s">
        <v>102</v>
      </c>
      <c r="H15" s="5" t="s">
        <v>108</v>
      </c>
      <c r="I15" s="7" t="s">
        <v>78</v>
      </c>
      <c r="J15" s="7" t="s">
        <v>137</v>
      </c>
      <c r="K15" s="7" t="s">
        <v>110</v>
      </c>
      <c r="L15" s="6" t="s">
        <v>111</v>
      </c>
      <c r="M15" s="10" t="s">
        <v>145</v>
      </c>
      <c r="N15">
        <f>VLOOKUP(C15,BigQuery!$1:$1048576,10,FALSE)</f>
        <v>0</v>
      </c>
      <c r="O15">
        <f>VLOOKUP(C15,Looker!$1:$1048576,10,FALSE)</f>
        <v>0</v>
      </c>
      <c r="P15">
        <f>VLOOKUP(C15,Dataflow!$1:$1048576,10,FALSE)</f>
        <v>0</v>
      </c>
      <c r="Q15">
        <f>VLOOKUP(C15,Dataproc!$1:$1048576,10,FALSE)</f>
        <v>0</v>
      </c>
      <c r="R15">
        <f>VLOOKUP(C15,'Google Kubernetes Engine'!$1:$1048576,10,FALSE)</f>
        <v>5</v>
      </c>
      <c r="S15">
        <f>VLOOKUP(C15,'Apigee API Management'!$1:$1048576,10,FALSE)</f>
        <v>0</v>
      </c>
      <c r="T15">
        <f>VLOOKUP(C15,'Cloud Run'!$1:$1048576,10,FALSE)</f>
        <v>5</v>
      </c>
      <c r="U15">
        <f>VLOOKUP(C15,Workspace!$1:$1048576,10,FALSE)</f>
        <v>0</v>
      </c>
      <c r="V15">
        <f>VLOOKUP(C15,'Cloud SQL'!$1:$1048576,10,FALSE)</f>
        <v>0</v>
      </c>
      <c r="W15">
        <f>VLOOKUP(C15,'AlloyDB for PostgreSQL'!$1:$1048576,10,FALSE)</f>
        <v>0</v>
      </c>
      <c r="X15">
        <f>VLOOKUP(C15,Spanner!$1:$1048576,10,FALSE)</f>
        <v>0</v>
      </c>
      <c r="Y15">
        <f>VLOOKUP(C15,Oracle!$1:$1048576,10,FALSE)</f>
        <v>0</v>
      </c>
      <c r="Z15">
        <f>VLOOKUP(C15,'Google Compute Engine'!$1:$1048576,10,FALSE)</f>
        <v>0</v>
      </c>
      <c r="AA15">
        <f>VLOOKUP(C15,'Google Cloud Networking'!$1:$1048576,10,FALSE)</f>
        <v>0</v>
      </c>
      <c r="AB15">
        <f>VLOOKUP(C15,'SAP on Google Cloud'!$1:$1048576,10,FALSE)</f>
        <v>0</v>
      </c>
      <c r="AC15">
        <f>VLOOKUP(C15,'Google Cloud VMware Engine'!$1:$1048576,10,FALSE)</f>
        <v>0</v>
      </c>
      <c r="AD15">
        <f>VLOOKUP(C15,'Google Distributed Cloud'!$1:$1048576,10,FALSE)</f>
        <v>0</v>
      </c>
      <c r="AE15">
        <f>VLOOKUP(C15,'Cloud Security'!$1:$1048576,10,FALSE)</f>
        <v>0</v>
      </c>
      <c r="AF15">
        <f>VLOOKUP(C15,'Security Command Center'!$1:$1048576,10,FALSE)</f>
        <v>0</v>
      </c>
      <c r="AG15">
        <f>VLOOKUP(C15,'Security Operations'!$1:$1048576,10,FALSE)</f>
        <v>0</v>
      </c>
      <c r="AH15">
        <f>VLOOKUP(C15,'Google Threat Intelligence'!$1:$1048576,10,FALSE)</f>
        <v>0</v>
      </c>
      <c r="AI15">
        <f>VLOOKUP(C15,'Vertex AI Platform'!$1:$1048576,10,FALSE)</f>
        <v>0</v>
      </c>
      <c r="AJ15">
        <f>VLOOKUP(C15,'AI Applications'!$1:$1048576,10,FALSE)</f>
        <v>0</v>
      </c>
      <c r="AK15">
        <f>VLOOKUP(C15,'Gemini Enterprise'!$1:$1048576,10,FALSE)</f>
        <v>0</v>
      </c>
      <c r="AL15">
        <f>VLOOKUP(C15,'Customer Engagement Suite'!$1:$1048576,10,FALSE)</f>
        <v>0</v>
      </c>
      <c r="AM15">
        <f t="shared" si="0"/>
        <v>10</v>
      </c>
    </row>
    <row r="16" spans="1:39">
      <c r="A16" s="5" t="s">
        <v>146</v>
      </c>
      <c r="B16" s="5" t="s">
        <v>71</v>
      </c>
      <c r="C16" s="6" t="s">
        <v>14</v>
      </c>
      <c r="D16" s="7" t="s">
        <v>73</v>
      </c>
      <c r="E16" s="7" t="s">
        <v>74</v>
      </c>
      <c r="F16" s="7" t="s">
        <v>84</v>
      </c>
      <c r="G16" s="5" t="s">
        <v>76</v>
      </c>
      <c r="H16" s="5" t="s">
        <v>85</v>
      </c>
      <c r="I16" s="7" t="s">
        <v>78</v>
      </c>
      <c r="J16" s="7" t="s">
        <v>86</v>
      </c>
      <c r="K16" s="7" t="s">
        <v>87</v>
      </c>
      <c r="L16" s="6" t="s">
        <v>6</v>
      </c>
      <c r="M16" s="10"/>
      <c r="N16">
        <f>VLOOKUP(C16,BigQuery!$1:$1048576,10,FALSE)</f>
        <v>0</v>
      </c>
      <c r="O16">
        <f>VLOOKUP(C16,Looker!$1:$1048576,10,FALSE)</f>
        <v>14</v>
      </c>
      <c r="P16">
        <f>VLOOKUP(C16,Dataflow!$1:$1048576,10,FALSE)</f>
        <v>0</v>
      </c>
      <c r="Q16">
        <f>VLOOKUP(C16,Dataproc!$1:$1048576,10,FALSE)</f>
        <v>0</v>
      </c>
      <c r="R16">
        <f>VLOOKUP(C16,'Google Kubernetes Engine'!$1:$1048576,10,FALSE)</f>
        <v>0</v>
      </c>
      <c r="S16">
        <f>VLOOKUP(C16,'Apigee API Management'!$1:$1048576,10,FALSE)</f>
        <v>0</v>
      </c>
      <c r="T16">
        <f>VLOOKUP(C16,'Cloud Run'!$1:$1048576,10,FALSE)</f>
        <v>0</v>
      </c>
      <c r="U16">
        <f>VLOOKUP(C16,Workspace!$1:$1048576,10,FALSE)</f>
        <v>0</v>
      </c>
      <c r="V16">
        <f>VLOOKUP(C16,'Cloud SQL'!$1:$1048576,10,FALSE)</f>
        <v>0</v>
      </c>
      <c r="W16">
        <f>VLOOKUP(C16,'AlloyDB for PostgreSQL'!$1:$1048576,10,FALSE)</f>
        <v>0</v>
      </c>
      <c r="X16">
        <f>VLOOKUP(C16,Spanner!$1:$1048576,10,FALSE)</f>
        <v>0</v>
      </c>
      <c r="Y16">
        <f>VLOOKUP(C16,Oracle!$1:$1048576,10,FALSE)</f>
        <v>0</v>
      </c>
      <c r="Z16">
        <f>VLOOKUP(C16,'Google Compute Engine'!$1:$1048576,10,FALSE)</f>
        <v>14</v>
      </c>
      <c r="AA16">
        <f>VLOOKUP(C16,'Google Cloud Networking'!$1:$1048576,10,FALSE)</f>
        <v>0</v>
      </c>
      <c r="AB16">
        <f>VLOOKUP(C16,'SAP on Google Cloud'!$1:$1048576,10,FALSE)</f>
        <v>14</v>
      </c>
      <c r="AC16">
        <f>VLOOKUP(C16,'Google Cloud VMware Engine'!$1:$1048576,10,FALSE)</f>
        <v>14</v>
      </c>
      <c r="AD16">
        <f>VLOOKUP(C16,'Google Distributed Cloud'!$1:$1048576,10,FALSE)</f>
        <v>14</v>
      </c>
      <c r="AE16">
        <f>VLOOKUP(C16,'Cloud Security'!$1:$1048576,10,FALSE)</f>
        <v>0</v>
      </c>
      <c r="AF16">
        <f>VLOOKUP(C16,'Security Command Center'!$1:$1048576,10,FALSE)</f>
        <v>0</v>
      </c>
      <c r="AG16">
        <f>VLOOKUP(C16,'Security Operations'!$1:$1048576,10,FALSE)</f>
        <v>0</v>
      </c>
      <c r="AH16">
        <f>VLOOKUP(C16,'Google Threat Intelligence'!$1:$1048576,10,FALSE)</f>
        <v>0</v>
      </c>
      <c r="AI16">
        <f>VLOOKUP(C16,'Vertex AI Platform'!$1:$1048576,10,FALSE)</f>
        <v>0</v>
      </c>
      <c r="AJ16">
        <f>VLOOKUP(C16,'AI Applications'!$1:$1048576,10,FALSE)</f>
        <v>0</v>
      </c>
      <c r="AK16">
        <f>VLOOKUP(C16,'Gemini Enterprise'!$1:$1048576,10,FALSE)</f>
        <v>0</v>
      </c>
      <c r="AL16">
        <f>VLOOKUP(C16,'Customer Engagement Suite'!$1:$1048576,10,FALSE)</f>
        <v>0</v>
      </c>
      <c r="AM16">
        <f t="shared" si="0"/>
        <v>70</v>
      </c>
    </row>
    <row r="17" spans="1:39">
      <c r="A17" s="5" t="s">
        <v>147</v>
      </c>
      <c r="B17" s="5" t="s">
        <v>99</v>
      </c>
      <c r="C17" s="6" t="s">
        <v>148</v>
      </c>
      <c r="D17" s="7" t="s">
        <v>82</v>
      </c>
      <c r="E17" s="7" t="s">
        <v>83</v>
      </c>
      <c r="F17" s="7" t="s">
        <v>149</v>
      </c>
      <c r="G17" s="5" t="s">
        <v>102</v>
      </c>
      <c r="H17" s="5" t="s">
        <v>108</v>
      </c>
      <c r="I17" s="7" t="s">
        <v>78</v>
      </c>
      <c r="J17" s="7" t="s">
        <v>150</v>
      </c>
      <c r="K17" s="7" t="s">
        <v>110</v>
      </c>
      <c r="L17" s="6" t="s">
        <v>111</v>
      </c>
      <c r="M17" s="10" t="s">
        <v>112</v>
      </c>
      <c r="N17">
        <f>VLOOKUP(C17,BigQuery!$1:$1048576,10,FALSE)</f>
        <v>0</v>
      </c>
      <c r="O17">
        <f>VLOOKUP(C17,Looker!$1:$1048576,10,FALSE)</f>
        <v>0</v>
      </c>
      <c r="P17">
        <f>VLOOKUP(C17,Dataflow!$1:$1048576,10,FALSE)</f>
        <v>0</v>
      </c>
      <c r="Q17">
        <f>VLOOKUP(C17,Dataproc!$1:$1048576,10,FALSE)</f>
        <v>0</v>
      </c>
      <c r="R17">
        <f>VLOOKUP(C17,'Google Kubernetes Engine'!$1:$1048576,10,FALSE)</f>
        <v>0</v>
      </c>
      <c r="S17">
        <f>VLOOKUP(C17,'Apigee API Management'!$1:$1048576,10,FALSE)</f>
        <v>0</v>
      </c>
      <c r="T17">
        <f>VLOOKUP(C17,'Cloud Run'!$1:$1048576,10,FALSE)</f>
        <v>0</v>
      </c>
      <c r="U17">
        <f>VLOOKUP(C17,Workspace!$1:$1048576,10,FALSE)</f>
        <v>0</v>
      </c>
      <c r="V17">
        <f>VLOOKUP(C17,'Cloud SQL'!$1:$1048576,10,FALSE)</f>
        <v>0</v>
      </c>
      <c r="W17">
        <f>VLOOKUP(C17,'AlloyDB for PostgreSQL'!$1:$1048576,10,FALSE)</f>
        <v>0</v>
      </c>
      <c r="X17">
        <f>VLOOKUP(C17,Spanner!$1:$1048576,10,FALSE)</f>
        <v>0</v>
      </c>
      <c r="Y17">
        <f>VLOOKUP(C17,Oracle!$1:$1048576,10,FALSE)</f>
        <v>0</v>
      </c>
      <c r="Z17">
        <f>VLOOKUP(C17,'Google Compute Engine'!$1:$1048576,10,FALSE)</f>
        <v>0</v>
      </c>
      <c r="AA17">
        <f>VLOOKUP(C17,'Google Cloud Networking'!$1:$1048576,10,FALSE)</f>
        <v>0</v>
      </c>
      <c r="AB17">
        <f>VLOOKUP(C17,'SAP on Google Cloud'!$1:$1048576,10,FALSE)</f>
        <v>0</v>
      </c>
      <c r="AC17">
        <f>VLOOKUP(C17,'Google Cloud VMware Engine'!$1:$1048576,10,FALSE)</f>
        <v>0</v>
      </c>
      <c r="AD17">
        <f>VLOOKUP(C17,'Google Distributed Cloud'!$1:$1048576,10,FALSE)</f>
        <v>0</v>
      </c>
      <c r="AE17">
        <f>VLOOKUP(C17,'Cloud Security'!$1:$1048576,10,FALSE)</f>
        <v>0</v>
      </c>
      <c r="AF17">
        <f>VLOOKUP(C17,'Security Command Center'!$1:$1048576,10,FALSE)</f>
        <v>0</v>
      </c>
      <c r="AG17">
        <f>VLOOKUP(C17,'Security Operations'!$1:$1048576,10,FALSE)</f>
        <v>0</v>
      </c>
      <c r="AH17">
        <f>VLOOKUP(C17,'Google Threat Intelligence'!$1:$1048576,10,FALSE)</f>
        <v>0</v>
      </c>
      <c r="AI17">
        <f>VLOOKUP(C17,'Vertex AI Platform'!$1:$1048576,10,FALSE)</f>
        <v>0</v>
      </c>
      <c r="AJ17">
        <f>VLOOKUP(C17,'AI Applications'!$1:$1048576,10,FALSE)</f>
        <v>0</v>
      </c>
      <c r="AK17">
        <f>VLOOKUP(C17,'Gemini Enterprise'!$1:$1048576,10,FALSE)</f>
        <v>0</v>
      </c>
      <c r="AL17">
        <f>VLOOKUP(C17,'Customer Engagement Suite'!$1:$1048576,10,FALSE)</f>
        <v>0</v>
      </c>
      <c r="AM17">
        <f t="shared" si="0"/>
        <v>0</v>
      </c>
    </row>
    <row r="18" spans="1:39">
      <c r="A18" s="5" t="s">
        <v>151</v>
      </c>
      <c r="B18" s="5" t="s">
        <v>114</v>
      </c>
      <c r="C18" s="6" t="s">
        <v>152</v>
      </c>
      <c r="D18" s="7" t="s">
        <v>82</v>
      </c>
      <c r="E18" s="7" t="s">
        <v>83</v>
      </c>
      <c r="F18" s="7" t="s">
        <v>153</v>
      </c>
      <c r="G18" s="5" t="s">
        <v>102</v>
      </c>
      <c r="H18" s="5" t="s">
        <v>108</v>
      </c>
      <c r="I18" s="7" t="s">
        <v>78</v>
      </c>
      <c r="J18" s="7" t="s">
        <v>154</v>
      </c>
      <c r="K18" s="7" t="s">
        <v>110</v>
      </c>
      <c r="L18" s="6" t="s">
        <v>111</v>
      </c>
      <c r="M18" s="10"/>
      <c r="N18">
        <f>VLOOKUP(C18,BigQuery!$1:$1048576,10,FALSE)</f>
        <v>0</v>
      </c>
      <c r="O18">
        <f>VLOOKUP(C18,Looker!$1:$1048576,10,FALSE)</f>
        <v>0</v>
      </c>
      <c r="P18">
        <f>VLOOKUP(C18,Dataflow!$1:$1048576,10,FALSE)</f>
        <v>0</v>
      </c>
      <c r="Q18">
        <f>VLOOKUP(C18,Dataproc!$1:$1048576,10,FALSE)</f>
        <v>0</v>
      </c>
      <c r="R18">
        <f>VLOOKUP(C18,'Google Kubernetes Engine'!$1:$1048576,10,FALSE)</f>
        <v>0</v>
      </c>
      <c r="S18">
        <f>VLOOKUP(C18,'Apigee API Management'!$1:$1048576,10,FALSE)</f>
        <v>0</v>
      </c>
      <c r="T18">
        <f>VLOOKUP(C18,'Cloud Run'!$1:$1048576,10,FALSE)</f>
        <v>0</v>
      </c>
      <c r="U18">
        <f>VLOOKUP(C18,Workspace!$1:$1048576,10,FALSE)</f>
        <v>0</v>
      </c>
      <c r="V18">
        <f>VLOOKUP(C18,'Cloud SQL'!$1:$1048576,10,FALSE)</f>
        <v>0</v>
      </c>
      <c r="W18">
        <f>VLOOKUP(C18,'AlloyDB for PostgreSQL'!$1:$1048576,10,FALSE)</f>
        <v>0</v>
      </c>
      <c r="X18">
        <f>VLOOKUP(C18,Spanner!$1:$1048576,10,FALSE)</f>
        <v>0</v>
      </c>
      <c r="Y18">
        <f>VLOOKUP(C18,Oracle!$1:$1048576,10,FALSE)</f>
        <v>0</v>
      </c>
      <c r="Z18">
        <f>VLOOKUP(C18,'Google Compute Engine'!$1:$1048576,10,FALSE)</f>
        <v>0</v>
      </c>
      <c r="AA18">
        <f>VLOOKUP(C18,'Google Cloud Networking'!$1:$1048576,10,FALSE)</f>
        <v>0</v>
      </c>
      <c r="AB18">
        <f>VLOOKUP(C18,'SAP on Google Cloud'!$1:$1048576,10,FALSE)</f>
        <v>0</v>
      </c>
      <c r="AC18">
        <f>VLOOKUP(C18,'Google Cloud VMware Engine'!$1:$1048576,10,FALSE)</f>
        <v>0</v>
      </c>
      <c r="AD18">
        <f>VLOOKUP(C18,'Google Distributed Cloud'!$1:$1048576,10,FALSE)</f>
        <v>0</v>
      </c>
      <c r="AE18">
        <f>VLOOKUP(C18,'Cloud Security'!$1:$1048576,10,FALSE)</f>
        <v>0</v>
      </c>
      <c r="AF18">
        <f>VLOOKUP(C18,'Security Command Center'!$1:$1048576,10,FALSE)</f>
        <v>0</v>
      </c>
      <c r="AG18">
        <f>VLOOKUP(C18,'Security Operations'!$1:$1048576,10,FALSE)</f>
        <v>0</v>
      </c>
      <c r="AH18">
        <f>VLOOKUP(C18,'Google Threat Intelligence'!$1:$1048576,10,FALSE)</f>
        <v>0</v>
      </c>
      <c r="AI18">
        <f>VLOOKUP(C18,'Vertex AI Platform'!$1:$1048576,10,FALSE)</f>
        <v>0</v>
      </c>
      <c r="AJ18">
        <f>VLOOKUP(C18,'AI Applications'!$1:$1048576,10,FALSE)</f>
        <v>0</v>
      </c>
      <c r="AK18">
        <f>VLOOKUP(C18,'Gemini Enterprise'!$1:$1048576,10,FALSE)</f>
        <v>0</v>
      </c>
      <c r="AL18">
        <f>VLOOKUP(C18,'Customer Engagement Suite'!$1:$1048576,10,FALSE)</f>
        <v>0</v>
      </c>
      <c r="AM18">
        <f t="shared" si="0"/>
        <v>0</v>
      </c>
    </row>
    <row r="19" spans="1:39">
      <c r="A19" s="5" t="s">
        <v>155</v>
      </c>
      <c r="B19" s="5" t="s">
        <v>99</v>
      </c>
      <c r="C19" s="11" t="s">
        <v>156</v>
      </c>
      <c r="D19" s="7" t="s">
        <v>115</v>
      </c>
      <c r="E19" s="7" t="s">
        <v>116</v>
      </c>
      <c r="F19" s="7" t="s">
        <v>133</v>
      </c>
      <c r="G19" s="5" t="s">
        <v>102</v>
      </c>
      <c r="H19" s="5" t="s">
        <v>157</v>
      </c>
      <c r="I19" s="7" t="s">
        <v>78</v>
      </c>
      <c r="J19" s="7" t="s">
        <v>79</v>
      </c>
      <c r="K19" s="7" t="s">
        <v>87</v>
      </c>
      <c r="L19" s="6" t="s">
        <v>6</v>
      </c>
      <c r="M19" s="10"/>
      <c r="N19" t="e">
        <f>VLOOKUP(C19,BigQuery!$1:$1048576,10,FALSE)</f>
        <v>#N/A</v>
      </c>
      <c r="O19" t="e">
        <f>VLOOKUP(C19,Looker!$1:$1048576,10,FALSE)</f>
        <v>#N/A</v>
      </c>
      <c r="P19" t="e">
        <f>VLOOKUP(C19,Dataflow!$1:$1048576,10,FALSE)</f>
        <v>#N/A</v>
      </c>
      <c r="Q19" t="e">
        <f>VLOOKUP(C19,Dataproc!$1:$1048576,10,FALSE)</f>
        <v>#N/A</v>
      </c>
      <c r="R19" t="e">
        <f>VLOOKUP(C19,'Google Kubernetes Engine'!$1:$1048576,10,FALSE)</f>
        <v>#N/A</v>
      </c>
      <c r="S19" t="e">
        <f>VLOOKUP(C19,'Apigee API Management'!$1:$1048576,10,FALSE)</f>
        <v>#N/A</v>
      </c>
      <c r="T19" t="e">
        <f>VLOOKUP(C19,'Cloud Run'!$1:$1048576,10,FALSE)</f>
        <v>#N/A</v>
      </c>
      <c r="U19" t="e">
        <f>VLOOKUP(C19,Workspace!$1:$1048576,10,FALSE)</f>
        <v>#N/A</v>
      </c>
      <c r="V19" t="e">
        <f>VLOOKUP(C19,'Cloud SQL'!$1:$1048576,10,FALSE)</f>
        <v>#N/A</v>
      </c>
      <c r="W19" t="e">
        <f>VLOOKUP(C19,'AlloyDB for PostgreSQL'!$1:$1048576,10,FALSE)</f>
        <v>#N/A</v>
      </c>
      <c r="X19" t="e">
        <f>VLOOKUP(C19,Spanner!$1:$1048576,10,FALSE)</f>
        <v>#N/A</v>
      </c>
      <c r="Y19" t="e">
        <f>VLOOKUP(C19,Oracle!$1:$1048576,10,FALSE)</f>
        <v>#N/A</v>
      </c>
      <c r="Z19" t="e">
        <f>VLOOKUP(C19,'Google Compute Engine'!$1:$1048576,10,FALSE)</f>
        <v>#N/A</v>
      </c>
      <c r="AA19" t="e">
        <f>VLOOKUP(C19,'Google Cloud Networking'!$1:$1048576,10,FALSE)</f>
        <v>#N/A</v>
      </c>
      <c r="AB19" t="e">
        <f>VLOOKUP(C19,'SAP on Google Cloud'!$1:$1048576,10,FALSE)</f>
        <v>#N/A</v>
      </c>
      <c r="AC19" t="e">
        <f>VLOOKUP(C19,'Google Cloud VMware Engine'!$1:$1048576,10,FALSE)</f>
        <v>#N/A</v>
      </c>
      <c r="AD19" t="e">
        <f>VLOOKUP(C19,'Google Distributed Cloud'!$1:$1048576,10,FALSE)</f>
        <v>#N/A</v>
      </c>
      <c r="AE19" t="e">
        <f>VLOOKUP(C19,'Cloud Security'!$1:$1048576,10,FALSE)</f>
        <v>#N/A</v>
      </c>
      <c r="AF19" t="e">
        <f>VLOOKUP(C19,'Security Command Center'!$1:$1048576,10,FALSE)</f>
        <v>#N/A</v>
      </c>
      <c r="AG19" t="e">
        <f>VLOOKUP(C19,'Security Operations'!$1:$1048576,10,FALSE)</f>
        <v>#N/A</v>
      </c>
      <c r="AH19" t="e">
        <f>VLOOKUP(C19,'Google Threat Intelligence'!$1:$1048576,10,FALSE)</f>
        <v>#N/A</v>
      </c>
      <c r="AI19" t="e">
        <f>VLOOKUP(C19,'Vertex AI Platform'!$1:$1048576,10,FALSE)</f>
        <v>#N/A</v>
      </c>
      <c r="AJ19" t="e">
        <f>VLOOKUP(C19,'AI Applications'!$1:$1048576,10,FALSE)</f>
        <v>#N/A</v>
      </c>
      <c r="AK19" t="e">
        <f>VLOOKUP(C19,'Gemini Enterprise'!$1:$1048576,10,FALSE)</f>
        <v>#N/A</v>
      </c>
      <c r="AL19" t="e">
        <f>VLOOKUP(C19,'Customer Engagement Suite'!$1:$1048576,10,FALSE)</f>
        <v>#N/A</v>
      </c>
      <c r="AM19" t="e">
        <f t="shared" si="0"/>
        <v>#N/A</v>
      </c>
    </row>
    <row r="20" spans="1:39">
      <c r="A20" s="5" t="s">
        <v>158</v>
      </c>
      <c r="B20" s="5" t="s">
        <v>99</v>
      </c>
      <c r="C20" s="12" t="s">
        <v>159</v>
      </c>
      <c r="D20" s="7" t="s">
        <v>115</v>
      </c>
      <c r="E20" s="7" t="s">
        <v>116</v>
      </c>
      <c r="F20" s="7" t="s">
        <v>160</v>
      </c>
      <c r="G20" s="5" t="s">
        <v>102</v>
      </c>
      <c r="H20" s="5" t="s">
        <v>157</v>
      </c>
      <c r="I20" s="7" t="s">
        <v>78</v>
      </c>
      <c r="J20" s="7" t="s">
        <v>79</v>
      </c>
      <c r="K20" s="7" t="s">
        <v>127</v>
      </c>
      <c r="L20" s="6" t="s">
        <v>111</v>
      </c>
      <c r="M20" s="10"/>
      <c r="N20" t="e">
        <f>VLOOKUP(C20,BigQuery!$1:$1048576,10,FALSE)</f>
        <v>#N/A</v>
      </c>
      <c r="O20" t="e">
        <f>VLOOKUP(C20,Looker!$1:$1048576,10,FALSE)</f>
        <v>#N/A</v>
      </c>
      <c r="P20" t="e">
        <f>VLOOKUP(C20,Dataflow!$1:$1048576,10,FALSE)</f>
        <v>#N/A</v>
      </c>
      <c r="Q20" t="e">
        <f>VLOOKUP(C20,Dataproc!$1:$1048576,10,FALSE)</f>
        <v>#N/A</v>
      </c>
      <c r="R20" t="e">
        <f>VLOOKUP(C20,'Google Kubernetes Engine'!$1:$1048576,10,FALSE)</f>
        <v>#N/A</v>
      </c>
      <c r="S20" t="e">
        <f>VLOOKUP(C20,'Apigee API Management'!$1:$1048576,10,FALSE)</f>
        <v>#N/A</v>
      </c>
      <c r="T20" t="e">
        <f>VLOOKUP(C20,'Cloud Run'!$1:$1048576,10,FALSE)</f>
        <v>#N/A</v>
      </c>
      <c r="U20" t="e">
        <f>VLOOKUP(C20,Workspace!$1:$1048576,10,FALSE)</f>
        <v>#N/A</v>
      </c>
      <c r="V20" t="e">
        <f>VLOOKUP(C20,'Cloud SQL'!$1:$1048576,10,FALSE)</f>
        <v>#N/A</v>
      </c>
      <c r="W20" t="e">
        <f>VLOOKUP(C20,'AlloyDB for PostgreSQL'!$1:$1048576,10,FALSE)</f>
        <v>#N/A</v>
      </c>
      <c r="X20" t="e">
        <f>VLOOKUP(C20,Spanner!$1:$1048576,10,FALSE)</f>
        <v>#N/A</v>
      </c>
      <c r="Y20" t="e">
        <f>VLOOKUP(C20,Oracle!$1:$1048576,10,FALSE)</f>
        <v>#N/A</v>
      </c>
      <c r="Z20" t="e">
        <f>VLOOKUP(C20,'Google Compute Engine'!$1:$1048576,10,FALSE)</f>
        <v>#N/A</v>
      </c>
      <c r="AA20" t="e">
        <f>VLOOKUP(C20,'Google Cloud Networking'!$1:$1048576,10,FALSE)</f>
        <v>#N/A</v>
      </c>
      <c r="AB20" t="e">
        <f>VLOOKUP(C20,'SAP on Google Cloud'!$1:$1048576,10,FALSE)</f>
        <v>#N/A</v>
      </c>
      <c r="AC20" t="e">
        <f>VLOOKUP(C20,'Google Cloud VMware Engine'!$1:$1048576,10,FALSE)</f>
        <v>#N/A</v>
      </c>
      <c r="AD20" t="e">
        <f>VLOOKUP(C20,'Google Distributed Cloud'!$1:$1048576,10,FALSE)</f>
        <v>#N/A</v>
      </c>
      <c r="AE20" t="e">
        <f>VLOOKUP(C20,'Cloud Security'!$1:$1048576,10,FALSE)</f>
        <v>#N/A</v>
      </c>
      <c r="AF20" t="e">
        <f>VLOOKUP(C20,'Security Command Center'!$1:$1048576,10,FALSE)</f>
        <v>#N/A</v>
      </c>
      <c r="AG20" t="e">
        <f>VLOOKUP(C20,'Security Operations'!$1:$1048576,10,FALSE)</f>
        <v>#N/A</v>
      </c>
      <c r="AH20" t="e">
        <f>VLOOKUP(C20,'Google Threat Intelligence'!$1:$1048576,10,FALSE)</f>
        <v>#N/A</v>
      </c>
      <c r="AI20" t="e">
        <f>VLOOKUP(C20,'Vertex AI Platform'!$1:$1048576,10,FALSE)</f>
        <v>#N/A</v>
      </c>
      <c r="AJ20" t="e">
        <f>VLOOKUP(C20,'AI Applications'!$1:$1048576,10,FALSE)</f>
        <v>#N/A</v>
      </c>
      <c r="AK20" t="e">
        <f>VLOOKUP(C20,'Gemini Enterprise'!$1:$1048576,10,FALSE)</f>
        <v>#N/A</v>
      </c>
      <c r="AL20" t="e">
        <f>VLOOKUP(C20,'Customer Engagement Suite'!$1:$1048576,10,FALSE)</f>
        <v>#N/A</v>
      </c>
      <c r="AM20" t="e">
        <f t="shared" si="0"/>
        <v>#N/A</v>
      </c>
    </row>
    <row r="21" spans="1:39">
      <c r="A21" s="5" t="s">
        <v>161</v>
      </c>
      <c r="B21" s="5" t="s">
        <v>89</v>
      </c>
      <c r="C21" s="11" t="s">
        <v>162</v>
      </c>
      <c r="D21" s="7" t="s">
        <v>73</v>
      </c>
      <c r="E21" s="7" t="s">
        <v>74</v>
      </c>
      <c r="F21" s="7" t="s">
        <v>149</v>
      </c>
      <c r="G21" s="5" t="s">
        <v>76</v>
      </c>
      <c r="H21" s="5" t="s">
        <v>163</v>
      </c>
      <c r="I21" s="7" t="s">
        <v>78</v>
      </c>
      <c r="J21" s="7" t="s">
        <v>164</v>
      </c>
      <c r="K21" s="7" t="s">
        <v>110</v>
      </c>
      <c r="L21" s="6" t="s">
        <v>111</v>
      </c>
      <c r="M21" s="10"/>
      <c r="N21" t="e">
        <f>VLOOKUP(C21,BigQuery!$1:$1048576,10,FALSE)</f>
        <v>#N/A</v>
      </c>
      <c r="O21" t="e">
        <f>VLOOKUP(C21,Looker!$1:$1048576,10,FALSE)</f>
        <v>#N/A</v>
      </c>
      <c r="P21" t="e">
        <f>VLOOKUP(C21,Dataflow!$1:$1048576,10,FALSE)</f>
        <v>#N/A</v>
      </c>
      <c r="Q21" t="e">
        <f>VLOOKUP(C21,Dataproc!$1:$1048576,10,FALSE)</f>
        <v>#N/A</v>
      </c>
      <c r="R21" t="e">
        <f>VLOOKUP(C21,'Google Kubernetes Engine'!$1:$1048576,10,FALSE)</f>
        <v>#N/A</v>
      </c>
      <c r="S21" t="e">
        <f>VLOOKUP(C21,'Apigee API Management'!$1:$1048576,10,FALSE)</f>
        <v>#N/A</v>
      </c>
      <c r="T21" t="e">
        <f>VLOOKUP(C21,'Cloud Run'!$1:$1048576,10,FALSE)</f>
        <v>#N/A</v>
      </c>
      <c r="U21" t="e">
        <f>VLOOKUP(C21,Workspace!$1:$1048576,10,FALSE)</f>
        <v>#N/A</v>
      </c>
      <c r="V21" t="e">
        <f>VLOOKUP(C21,'Cloud SQL'!$1:$1048576,10,FALSE)</f>
        <v>#N/A</v>
      </c>
      <c r="W21" t="e">
        <f>VLOOKUP(C21,'AlloyDB for PostgreSQL'!$1:$1048576,10,FALSE)</f>
        <v>#N/A</v>
      </c>
      <c r="X21" t="e">
        <f>VLOOKUP(C21,Spanner!$1:$1048576,10,FALSE)</f>
        <v>#N/A</v>
      </c>
      <c r="Y21" t="e">
        <f>VLOOKUP(C21,Oracle!$1:$1048576,10,FALSE)</f>
        <v>#N/A</v>
      </c>
      <c r="Z21" t="e">
        <f>VLOOKUP(C21,'Google Compute Engine'!$1:$1048576,10,FALSE)</f>
        <v>#N/A</v>
      </c>
      <c r="AA21" t="e">
        <f>VLOOKUP(C21,'Google Cloud Networking'!$1:$1048576,10,FALSE)</f>
        <v>#N/A</v>
      </c>
      <c r="AB21" t="e">
        <f>VLOOKUP(C21,'SAP on Google Cloud'!$1:$1048576,10,FALSE)</f>
        <v>#N/A</v>
      </c>
      <c r="AC21" t="e">
        <f>VLOOKUP(C21,'Google Cloud VMware Engine'!$1:$1048576,10,FALSE)</f>
        <v>#N/A</v>
      </c>
      <c r="AD21" t="e">
        <f>VLOOKUP(C21,'Google Distributed Cloud'!$1:$1048576,10,FALSE)</f>
        <v>#N/A</v>
      </c>
      <c r="AE21" t="e">
        <f>VLOOKUP(C21,'Cloud Security'!$1:$1048576,10,FALSE)</f>
        <v>#N/A</v>
      </c>
      <c r="AF21" t="e">
        <f>VLOOKUP(C21,'Security Command Center'!$1:$1048576,10,FALSE)</f>
        <v>#N/A</v>
      </c>
      <c r="AG21" t="e">
        <f>VLOOKUP(C21,'Security Operations'!$1:$1048576,10,FALSE)</f>
        <v>#N/A</v>
      </c>
      <c r="AH21" t="e">
        <f>VLOOKUP(C21,'Google Threat Intelligence'!$1:$1048576,10,FALSE)</f>
        <v>#N/A</v>
      </c>
      <c r="AI21" t="e">
        <f>VLOOKUP(C21,'Vertex AI Platform'!$1:$1048576,10,FALSE)</f>
        <v>#N/A</v>
      </c>
      <c r="AJ21" t="e">
        <f>VLOOKUP(C21,'AI Applications'!$1:$1048576,10,FALSE)</f>
        <v>#N/A</v>
      </c>
      <c r="AK21" t="e">
        <f>VLOOKUP(C21,'Gemini Enterprise'!$1:$1048576,10,FALSE)</f>
        <v>#N/A</v>
      </c>
      <c r="AL21" t="e">
        <f>VLOOKUP(C21,'Customer Engagement Suite'!$1:$1048576,10,FALSE)</f>
        <v>#N/A</v>
      </c>
      <c r="AM21" t="e">
        <f t="shared" si="0"/>
        <v>#N/A</v>
      </c>
    </row>
    <row r="22" spans="1:39">
      <c r="A22" s="5" t="s">
        <v>165</v>
      </c>
      <c r="B22" s="5" t="s">
        <v>89</v>
      </c>
      <c r="C22" s="6" t="s">
        <v>166</v>
      </c>
      <c r="D22" s="7" t="s">
        <v>119</v>
      </c>
      <c r="E22" s="7" t="s">
        <v>120</v>
      </c>
      <c r="F22" s="7" t="s">
        <v>107</v>
      </c>
      <c r="G22" s="5" t="s">
        <v>76</v>
      </c>
      <c r="H22" s="5" t="s">
        <v>163</v>
      </c>
      <c r="I22" s="7" t="s">
        <v>78</v>
      </c>
      <c r="J22" s="7" t="s">
        <v>137</v>
      </c>
      <c r="K22" s="7" t="s">
        <v>110</v>
      </c>
      <c r="L22" s="6" t="s">
        <v>111</v>
      </c>
      <c r="M22" s="10" t="s">
        <v>167</v>
      </c>
      <c r="N22">
        <f>VLOOKUP(C22,BigQuery!$1:$1048576,10,FALSE)</f>
        <v>0</v>
      </c>
      <c r="O22">
        <f>VLOOKUP(C22,Looker!$1:$1048576,10,FALSE)</f>
        <v>0</v>
      </c>
      <c r="P22">
        <f>VLOOKUP(C22,Dataflow!$1:$1048576,10,FALSE)</f>
        <v>0</v>
      </c>
      <c r="Q22">
        <f>VLOOKUP(C22,Dataproc!$1:$1048576,10,FALSE)</f>
        <v>0</v>
      </c>
      <c r="R22">
        <f>VLOOKUP(C22,'Google Kubernetes Engine'!$1:$1048576,10,FALSE)</f>
        <v>0</v>
      </c>
      <c r="S22">
        <f>VLOOKUP(C22,'Apigee API Management'!$1:$1048576,10,FALSE)</f>
        <v>0</v>
      </c>
      <c r="T22">
        <f>VLOOKUP(C22,'Cloud Run'!$1:$1048576,10,FALSE)</f>
        <v>0</v>
      </c>
      <c r="U22">
        <f>VLOOKUP(C22,Workspace!$1:$1048576,10,FALSE)</f>
        <v>0</v>
      </c>
      <c r="V22">
        <f>VLOOKUP(C22,'Cloud SQL'!$1:$1048576,10,FALSE)</f>
        <v>0</v>
      </c>
      <c r="W22">
        <f>VLOOKUP(C22,'AlloyDB for PostgreSQL'!$1:$1048576,10,FALSE)</f>
        <v>0</v>
      </c>
      <c r="X22">
        <f>VLOOKUP(C22,Spanner!$1:$1048576,10,FALSE)</f>
        <v>0</v>
      </c>
      <c r="Y22">
        <f>VLOOKUP(C22,Oracle!$1:$1048576,10,FALSE)</f>
        <v>0</v>
      </c>
      <c r="Z22">
        <f>VLOOKUP(C22,'Google Compute Engine'!$1:$1048576,10,FALSE)</f>
        <v>0</v>
      </c>
      <c r="AA22">
        <f>VLOOKUP(C22,'Google Cloud Networking'!$1:$1048576,10,FALSE)</f>
        <v>0</v>
      </c>
      <c r="AB22">
        <f>VLOOKUP(C22,'SAP on Google Cloud'!$1:$1048576,10,FALSE)</f>
        <v>0</v>
      </c>
      <c r="AC22">
        <f>VLOOKUP(C22,'Google Cloud VMware Engine'!$1:$1048576,10,FALSE)</f>
        <v>0</v>
      </c>
      <c r="AD22">
        <f>VLOOKUP(C22,'Google Distributed Cloud'!$1:$1048576,10,FALSE)</f>
        <v>0</v>
      </c>
      <c r="AE22">
        <f>VLOOKUP(C22,'Cloud Security'!$1:$1048576,10,FALSE)</f>
        <v>0</v>
      </c>
      <c r="AF22">
        <f>VLOOKUP(C22,'Security Command Center'!$1:$1048576,10,FALSE)</f>
        <v>0</v>
      </c>
      <c r="AG22">
        <f>VLOOKUP(C22,'Security Operations'!$1:$1048576,10,FALSE)</f>
        <v>0</v>
      </c>
      <c r="AH22">
        <f>VLOOKUP(C22,'Google Threat Intelligence'!$1:$1048576,10,FALSE)</f>
        <v>0</v>
      </c>
      <c r="AI22">
        <f>VLOOKUP(C22,'Vertex AI Platform'!$1:$1048576,10,FALSE)</f>
        <v>0</v>
      </c>
      <c r="AJ22">
        <f>VLOOKUP(C22,'AI Applications'!$1:$1048576,10,FALSE)</f>
        <v>0</v>
      </c>
      <c r="AK22">
        <f>VLOOKUP(C22,'Gemini Enterprise'!$1:$1048576,10,FALSE)</f>
        <v>0</v>
      </c>
      <c r="AL22">
        <f>VLOOKUP(C22,'Customer Engagement Suite'!$1:$1048576,10,FALSE)</f>
        <v>0</v>
      </c>
      <c r="AM22">
        <f t="shared" si="0"/>
        <v>0</v>
      </c>
    </row>
    <row r="23" spans="1:39">
      <c r="A23" s="5" t="s">
        <v>168</v>
      </c>
      <c r="B23" s="5" t="s">
        <v>99</v>
      </c>
      <c r="C23" s="6" t="s">
        <v>169</v>
      </c>
      <c r="D23" s="7" t="s">
        <v>115</v>
      </c>
      <c r="E23" s="7" t="s">
        <v>116</v>
      </c>
      <c r="F23" s="7" t="s">
        <v>170</v>
      </c>
      <c r="G23" s="5" t="s">
        <v>102</v>
      </c>
      <c r="H23" s="5" t="s">
        <v>103</v>
      </c>
      <c r="I23" s="7" t="s">
        <v>78</v>
      </c>
      <c r="J23" s="7" t="s">
        <v>79</v>
      </c>
      <c r="K23" s="7" t="s">
        <v>87</v>
      </c>
      <c r="L23" s="6" t="s">
        <v>6</v>
      </c>
      <c r="M23" s="10"/>
      <c r="N23">
        <f>VLOOKUP(C23,BigQuery!$1:$1048576,10,FALSE)</f>
        <v>0</v>
      </c>
      <c r="O23">
        <f>VLOOKUP(C23,Looker!$1:$1048576,10,FALSE)</f>
        <v>0</v>
      </c>
      <c r="P23">
        <f>VLOOKUP(C23,Dataflow!$1:$1048576,10,FALSE)</f>
        <v>0</v>
      </c>
      <c r="Q23">
        <f>VLOOKUP(C23,Dataproc!$1:$1048576,10,FALSE)</f>
        <v>0</v>
      </c>
      <c r="R23">
        <f>VLOOKUP(C23,'Google Kubernetes Engine'!$1:$1048576,10,FALSE)</f>
        <v>0</v>
      </c>
      <c r="S23">
        <f>VLOOKUP(C23,'Apigee API Management'!$1:$1048576,10,FALSE)</f>
        <v>0</v>
      </c>
      <c r="T23">
        <f>VLOOKUP(C23,'Cloud Run'!$1:$1048576,10,FALSE)</f>
        <v>0</v>
      </c>
      <c r="U23">
        <f>VLOOKUP(C23,Workspace!$1:$1048576,10,FALSE)</f>
        <v>0</v>
      </c>
      <c r="V23">
        <f>VLOOKUP(C23,'Cloud SQL'!$1:$1048576,10,FALSE)</f>
        <v>0</v>
      </c>
      <c r="W23">
        <f>VLOOKUP(C23,'AlloyDB for PostgreSQL'!$1:$1048576,10,FALSE)</f>
        <v>0</v>
      </c>
      <c r="X23">
        <f>VLOOKUP(C23,Spanner!$1:$1048576,10,FALSE)</f>
        <v>0</v>
      </c>
      <c r="Y23">
        <f>VLOOKUP(C23,Oracle!$1:$1048576,10,FALSE)</f>
        <v>0</v>
      </c>
      <c r="Z23">
        <f>VLOOKUP(C23,'Google Compute Engine'!$1:$1048576,10,FALSE)</f>
        <v>0</v>
      </c>
      <c r="AA23">
        <f>VLOOKUP(C23,'Google Cloud Networking'!$1:$1048576,10,FALSE)</f>
        <v>0</v>
      </c>
      <c r="AB23">
        <f>VLOOKUP(C23,'SAP on Google Cloud'!$1:$1048576,10,FALSE)</f>
        <v>0</v>
      </c>
      <c r="AC23">
        <f>VLOOKUP(C23,'Google Cloud VMware Engine'!$1:$1048576,10,FALSE)</f>
        <v>0</v>
      </c>
      <c r="AD23">
        <f>VLOOKUP(C23,'Google Distributed Cloud'!$1:$1048576,10,FALSE)</f>
        <v>0</v>
      </c>
      <c r="AE23">
        <f>VLOOKUP(C23,'Cloud Security'!$1:$1048576,10,FALSE)</f>
        <v>0</v>
      </c>
      <c r="AF23">
        <f>VLOOKUP(C23,'Security Command Center'!$1:$1048576,10,FALSE)</f>
        <v>0</v>
      </c>
      <c r="AG23">
        <f>VLOOKUP(C23,'Security Operations'!$1:$1048576,10,FALSE)</f>
        <v>0</v>
      </c>
      <c r="AH23">
        <f>VLOOKUP(C23,'Google Threat Intelligence'!$1:$1048576,10,FALSE)</f>
        <v>0</v>
      </c>
      <c r="AI23">
        <f>VLOOKUP(C23,'Vertex AI Platform'!$1:$1048576,10,FALSE)</f>
        <v>0</v>
      </c>
      <c r="AJ23">
        <f>VLOOKUP(C23,'AI Applications'!$1:$1048576,10,FALSE)</f>
        <v>0</v>
      </c>
      <c r="AK23">
        <f>VLOOKUP(C23,'Gemini Enterprise'!$1:$1048576,10,FALSE)</f>
        <v>0</v>
      </c>
      <c r="AL23" t="e">
        <f>VLOOKUP(C23,'Customer Engagement Suite'!$1:$1048576,10,FALSE)</f>
        <v>#N/A</v>
      </c>
      <c r="AM23" t="e">
        <f t="shared" si="0"/>
        <v>#N/A</v>
      </c>
    </row>
    <row r="24" spans="1:39">
      <c r="A24" s="5" t="s">
        <v>171</v>
      </c>
      <c r="B24" s="5" t="s">
        <v>99</v>
      </c>
      <c r="C24" s="6" t="s">
        <v>172</v>
      </c>
      <c r="D24" s="7" t="s">
        <v>73</v>
      </c>
      <c r="E24" s="7" t="s">
        <v>74</v>
      </c>
      <c r="F24" s="7" t="s">
        <v>125</v>
      </c>
      <c r="G24" s="5" t="s">
        <v>102</v>
      </c>
      <c r="H24" s="5" t="s">
        <v>157</v>
      </c>
      <c r="I24" s="7" t="s">
        <v>78</v>
      </c>
      <c r="J24" s="7" t="s">
        <v>79</v>
      </c>
      <c r="K24" s="7" t="s">
        <v>127</v>
      </c>
      <c r="L24" s="6" t="s">
        <v>111</v>
      </c>
      <c r="M24" s="10"/>
      <c r="N24">
        <f>VLOOKUP(C24,BigQuery!$1:$1048576,10,FALSE)</f>
        <v>0</v>
      </c>
      <c r="O24">
        <f>VLOOKUP(C24,Looker!$1:$1048576,10,FALSE)</f>
        <v>0</v>
      </c>
      <c r="P24">
        <f>VLOOKUP(C24,Dataflow!$1:$1048576,10,FALSE)</f>
        <v>0</v>
      </c>
      <c r="Q24">
        <f>VLOOKUP(C24,Dataproc!$1:$1048576,10,FALSE)</f>
        <v>0</v>
      </c>
      <c r="R24">
        <f>VLOOKUP(C24,'Google Kubernetes Engine'!$1:$1048576,10,FALSE)</f>
        <v>0</v>
      </c>
      <c r="S24">
        <f>VLOOKUP(C24,'Apigee API Management'!$1:$1048576,10,FALSE)</f>
        <v>0</v>
      </c>
      <c r="T24">
        <f>VLOOKUP(C24,'Cloud Run'!$1:$1048576,10,FALSE)</f>
        <v>0</v>
      </c>
      <c r="U24">
        <f>VLOOKUP(C24,Workspace!$1:$1048576,10,FALSE)</f>
        <v>0</v>
      </c>
      <c r="V24">
        <f>VLOOKUP(C24,'Cloud SQL'!$1:$1048576,10,FALSE)</f>
        <v>0</v>
      </c>
      <c r="W24">
        <f>VLOOKUP(C24,'AlloyDB for PostgreSQL'!$1:$1048576,10,FALSE)</f>
        <v>0</v>
      </c>
      <c r="X24">
        <f>VLOOKUP(C24,Spanner!$1:$1048576,10,FALSE)</f>
        <v>0</v>
      </c>
      <c r="Y24">
        <f>VLOOKUP(C24,Oracle!$1:$1048576,10,FALSE)</f>
        <v>0</v>
      </c>
      <c r="Z24">
        <f>VLOOKUP(C24,'Google Compute Engine'!$1:$1048576,10,FALSE)</f>
        <v>0</v>
      </c>
      <c r="AA24">
        <f>VLOOKUP(C24,'Google Cloud Networking'!$1:$1048576,10,FALSE)</f>
        <v>0</v>
      </c>
      <c r="AB24">
        <f>VLOOKUP(C24,'SAP on Google Cloud'!$1:$1048576,10,FALSE)</f>
        <v>0</v>
      </c>
      <c r="AC24">
        <f>VLOOKUP(C24,'Google Cloud VMware Engine'!$1:$1048576,10,FALSE)</f>
        <v>0</v>
      </c>
      <c r="AD24">
        <f>VLOOKUP(C24,'Google Distributed Cloud'!$1:$1048576,10,FALSE)</f>
        <v>0</v>
      </c>
      <c r="AE24">
        <f>VLOOKUP(C24,'Cloud Security'!$1:$1048576,10,FALSE)</f>
        <v>0</v>
      </c>
      <c r="AF24">
        <f>VLOOKUP(C24,'Security Command Center'!$1:$1048576,10,FALSE)</f>
        <v>0</v>
      </c>
      <c r="AG24">
        <f>VLOOKUP(C24,'Security Operations'!$1:$1048576,10,FALSE)</f>
        <v>0</v>
      </c>
      <c r="AH24">
        <f>VLOOKUP(C24,'Google Threat Intelligence'!$1:$1048576,10,FALSE)</f>
        <v>0</v>
      </c>
      <c r="AI24">
        <f>VLOOKUP(C24,'Vertex AI Platform'!$1:$1048576,10,FALSE)</f>
        <v>0</v>
      </c>
      <c r="AJ24">
        <f>VLOOKUP(C24,'AI Applications'!$1:$1048576,10,FALSE)</f>
        <v>0</v>
      </c>
      <c r="AK24">
        <f>VLOOKUP(C24,'Gemini Enterprise'!$1:$1048576,10,FALSE)</f>
        <v>0</v>
      </c>
      <c r="AL24">
        <f>VLOOKUP(C24,'Customer Engagement Suite'!$1:$1048576,10,FALSE)</f>
        <v>0</v>
      </c>
      <c r="AM24">
        <f t="shared" si="0"/>
        <v>0</v>
      </c>
    </row>
    <row r="25" spans="1:39">
      <c r="A25" s="5" t="s">
        <v>173</v>
      </c>
      <c r="B25" s="5" t="s">
        <v>99</v>
      </c>
      <c r="C25" s="6" t="s">
        <v>174</v>
      </c>
      <c r="D25" s="7" t="s">
        <v>105</v>
      </c>
      <c r="E25" s="7" t="s">
        <v>106</v>
      </c>
      <c r="F25" s="7" t="s">
        <v>84</v>
      </c>
      <c r="G25" s="5" t="s">
        <v>102</v>
      </c>
      <c r="H25" s="5" t="s">
        <v>103</v>
      </c>
      <c r="I25" s="7" t="s">
        <v>78</v>
      </c>
      <c r="J25" s="7" t="s">
        <v>86</v>
      </c>
      <c r="K25" s="7" t="s">
        <v>87</v>
      </c>
      <c r="L25" s="6" t="s">
        <v>6</v>
      </c>
      <c r="M25" s="10"/>
      <c r="N25">
        <f>VLOOKUP(C25,BigQuery!$1:$1048576,10,FALSE)</f>
        <v>0</v>
      </c>
      <c r="O25">
        <f>VLOOKUP(C25,Looker!$1:$1048576,10,FALSE)</f>
        <v>0</v>
      </c>
      <c r="P25">
        <f>VLOOKUP(C25,Dataflow!$1:$1048576,10,FALSE)</f>
        <v>0</v>
      </c>
      <c r="Q25">
        <f>VLOOKUP(C25,Dataproc!$1:$1048576,10,FALSE)</f>
        <v>0</v>
      </c>
      <c r="R25">
        <f>VLOOKUP(C25,'Google Kubernetes Engine'!$1:$1048576,10,FALSE)</f>
        <v>0</v>
      </c>
      <c r="S25">
        <f>VLOOKUP(C25,'Apigee API Management'!$1:$1048576,10,FALSE)</f>
        <v>0</v>
      </c>
      <c r="T25">
        <f>VLOOKUP(C25,'Cloud Run'!$1:$1048576,10,FALSE)</f>
        <v>0</v>
      </c>
      <c r="U25">
        <f>VLOOKUP(C25,Workspace!$1:$1048576,10,FALSE)</f>
        <v>0</v>
      </c>
      <c r="V25">
        <f>VLOOKUP(C25,'Cloud SQL'!$1:$1048576,10,FALSE)</f>
        <v>0</v>
      </c>
      <c r="W25">
        <f>VLOOKUP(C25,'AlloyDB for PostgreSQL'!$1:$1048576,10,FALSE)</f>
        <v>0</v>
      </c>
      <c r="X25">
        <f>VLOOKUP(C25,Spanner!$1:$1048576,10,FALSE)</f>
        <v>0</v>
      </c>
      <c r="Y25">
        <f>VLOOKUP(C25,Oracle!$1:$1048576,10,FALSE)</f>
        <v>0</v>
      </c>
      <c r="Z25">
        <f>VLOOKUP(C25,'Google Compute Engine'!$1:$1048576,10,FALSE)</f>
        <v>0</v>
      </c>
      <c r="AA25">
        <f>VLOOKUP(C25,'Google Cloud Networking'!$1:$1048576,10,FALSE)</f>
        <v>0</v>
      </c>
      <c r="AB25">
        <f>VLOOKUP(C25,'SAP on Google Cloud'!$1:$1048576,10,FALSE)</f>
        <v>0</v>
      </c>
      <c r="AC25">
        <f>VLOOKUP(C25,'Google Cloud VMware Engine'!$1:$1048576,10,FALSE)</f>
        <v>0</v>
      </c>
      <c r="AD25">
        <f>VLOOKUP(C25,'Google Distributed Cloud'!$1:$1048576,10,FALSE)</f>
        <v>0</v>
      </c>
      <c r="AE25">
        <f>VLOOKUP(C25,'Cloud Security'!$1:$1048576,10,FALSE)</f>
        <v>0</v>
      </c>
      <c r="AF25">
        <f>VLOOKUP(C25,'Security Command Center'!$1:$1048576,10,FALSE)</f>
        <v>0</v>
      </c>
      <c r="AG25">
        <f>VLOOKUP(C25,'Security Operations'!$1:$1048576,10,FALSE)</f>
        <v>0</v>
      </c>
      <c r="AH25">
        <f>VLOOKUP(C25,'Google Threat Intelligence'!$1:$1048576,10,FALSE)</f>
        <v>0</v>
      </c>
      <c r="AI25">
        <f>VLOOKUP(C25,'Vertex AI Platform'!$1:$1048576,10,FALSE)</f>
        <v>0</v>
      </c>
      <c r="AJ25">
        <f>VLOOKUP(C25,'AI Applications'!$1:$1048576,10,FALSE)</f>
        <v>0</v>
      </c>
      <c r="AK25">
        <f>VLOOKUP(C25,'Gemini Enterprise'!$1:$1048576,10,FALSE)</f>
        <v>0</v>
      </c>
      <c r="AL25">
        <f>VLOOKUP(C25,'Customer Engagement Suite'!$1:$1048576,10,FALSE)</f>
        <v>0</v>
      </c>
      <c r="AM25">
        <f t="shared" si="0"/>
        <v>0</v>
      </c>
    </row>
    <row r="26" spans="1:39">
      <c r="A26" s="5" t="s">
        <v>175</v>
      </c>
      <c r="B26" s="5" t="s">
        <v>99</v>
      </c>
      <c r="C26" s="6" t="s">
        <v>176</v>
      </c>
      <c r="D26" s="7" t="s">
        <v>73</v>
      </c>
      <c r="E26" s="7" t="s">
        <v>74</v>
      </c>
      <c r="F26" s="7" t="s">
        <v>153</v>
      </c>
      <c r="G26" s="5" t="s">
        <v>102</v>
      </c>
      <c r="H26" s="5" t="s">
        <v>108</v>
      </c>
      <c r="I26" s="7" t="s">
        <v>78</v>
      </c>
      <c r="J26" s="7" t="s">
        <v>154</v>
      </c>
      <c r="K26" s="7" t="s">
        <v>110</v>
      </c>
      <c r="L26" s="6" t="s">
        <v>111</v>
      </c>
      <c r="M26" s="10"/>
      <c r="N26">
        <f>VLOOKUP(C26,BigQuery!$1:$1048576,10,FALSE)</f>
        <v>0</v>
      </c>
      <c r="O26">
        <f>VLOOKUP(C26,Looker!$1:$1048576,10,FALSE)</f>
        <v>0</v>
      </c>
      <c r="P26">
        <f>VLOOKUP(C26,Dataflow!$1:$1048576,10,FALSE)</f>
        <v>0</v>
      </c>
      <c r="Q26">
        <f>VLOOKUP(C26,Dataproc!$1:$1048576,10,FALSE)</f>
        <v>0</v>
      </c>
      <c r="R26">
        <f>VLOOKUP(C26,'Google Kubernetes Engine'!$1:$1048576,10,FALSE)</f>
        <v>0</v>
      </c>
      <c r="S26">
        <f>VLOOKUP(C26,'Apigee API Management'!$1:$1048576,10,FALSE)</f>
        <v>0</v>
      </c>
      <c r="T26">
        <f>VLOOKUP(C26,'Cloud Run'!$1:$1048576,10,FALSE)</f>
        <v>0</v>
      </c>
      <c r="U26">
        <f>VLOOKUP(C26,Workspace!$1:$1048576,10,FALSE)</f>
        <v>0</v>
      </c>
      <c r="V26">
        <f>VLOOKUP(C26,'Cloud SQL'!$1:$1048576,10,FALSE)</f>
        <v>0</v>
      </c>
      <c r="W26">
        <f>VLOOKUP(C26,'AlloyDB for PostgreSQL'!$1:$1048576,10,FALSE)</f>
        <v>0</v>
      </c>
      <c r="X26">
        <f>VLOOKUP(C26,Spanner!$1:$1048576,10,FALSE)</f>
        <v>0</v>
      </c>
      <c r="Y26">
        <f>VLOOKUP(C26,Oracle!$1:$1048576,10,FALSE)</f>
        <v>0</v>
      </c>
      <c r="Z26">
        <f>VLOOKUP(C26,'Google Compute Engine'!$1:$1048576,10,FALSE)</f>
        <v>0</v>
      </c>
      <c r="AA26">
        <f>VLOOKUP(C26,'Google Cloud Networking'!$1:$1048576,10,FALSE)</f>
        <v>0</v>
      </c>
      <c r="AB26">
        <f>VLOOKUP(C26,'SAP on Google Cloud'!$1:$1048576,10,FALSE)</f>
        <v>0</v>
      </c>
      <c r="AC26">
        <f>VLOOKUP(C26,'Google Cloud VMware Engine'!$1:$1048576,10,FALSE)</f>
        <v>0</v>
      </c>
      <c r="AD26">
        <f>VLOOKUP(C26,'Google Distributed Cloud'!$1:$1048576,10,FALSE)</f>
        <v>0</v>
      </c>
      <c r="AE26">
        <f>VLOOKUP(C26,'Cloud Security'!$1:$1048576,10,FALSE)</f>
        <v>0</v>
      </c>
      <c r="AF26">
        <f>VLOOKUP(C26,'Security Command Center'!$1:$1048576,10,FALSE)</f>
        <v>0</v>
      </c>
      <c r="AG26">
        <f>VLOOKUP(C26,'Security Operations'!$1:$1048576,10,FALSE)</f>
        <v>0</v>
      </c>
      <c r="AH26">
        <f>VLOOKUP(C26,'Google Threat Intelligence'!$1:$1048576,10,FALSE)</f>
        <v>0</v>
      </c>
      <c r="AI26">
        <f>VLOOKUP(C26,'Vertex AI Platform'!$1:$1048576,10,FALSE)</f>
        <v>0</v>
      </c>
      <c r="AJ26">
        <f>VLOOKUP(C26,'AI Applications'!$1:$1048576,10,FALSE)</f>
        <v>0</v>
      </c>
      <c r="AK26">
        <f>VLOOKUP(C26,'Gemini Enterprise'!$1:$1048576,10,FALSE)</f>
        <v>0</v>
      </c>
      <c r="AL26">
        <f>VLOOKUP(C26,'Customer Engagement Suite'!$1:$1048576,10,FALSE)</f>
        <v>0</v>
      </c>
      <c r="AM26">
        <f t="shared" si="0"/>
        <v>0</v>
      </c>
    </row>
    <row r="27" spans="1:39">
      <c r="A27" s="5" t="s">
        <v>177</v>
      </c>
      <c r="B27" s="5" t="s">
        <v>99</v>
      </c>
      <c r="C27" s="6" t="s">
        <v>178</v>
      </c>
      <c r="D27" s="7" t="s">
        <v>82</v>
      </c>
      <c r="E27" s="7" t="s">
        <v>83</v>
      </c>
      <c r="F27" s="7" t="s">
        <v>160</v>
      </c>
      <c r="G27" s="5" t="s">
        <v>102</v>
      </c>
      <c r="H27" s="5" t="s">
        <v>157</v>
      </c>
      <c r="I27" s="7" t="s">
        <v>78</v>
      </c>
      <c r="J27" s="7" t="s">
        <v>79</v>
      </c>
      <c r="K27" s="7" t="s">
        <v>127</v>
      </c>
      <c r="L27" s="6" t="s">
        <v>111</v>
      </c>
      <c r="M27" s="10"/>
      <c r="N27">
        <f>VLOOKUP(C27,BigQuery!$1:$1048576,10,FALSE)</f>
        <v>0</v>
      </c>
      <c r="O27">
        <f>VLOOKUP(C27,Looker!$1:$1048576,10,FALSE)</f>
        <v>0</v>
      </c>
      <c r="P27">
        <f>VLOOKUP(C27,Dataflow!$1:$1048576,10,FALSE)</f>
        <v>0</v>
      </c>
      <c r="Q27">
        <f>VLOOKUP(C27,Dataproc!$1:$1048576,10,FALSE)</f>
        <v>0</v>
      </c>
      <c r="R27">
        <f>VLOOKUP(C27,'Google Kubernetes Engine'!$1:$1048576,10,FALSE)</f>
        <v>0</v>
      </c>
      <c r="S27">
        <f>VLOOKUP(C27,'Apigee API Management'!$1:$1048576,10,FALSE)</f>
        <v>0</v>
      </c>
      <c r="T27">
        <f>VLOOKUP(C27,'Cloud Run'!$1:$1048576,10,FALSE)</f>
        <v>0</v>
      </c>
      <c r="U27">
        <f>VLOOKUP(C27,Workspace!$1:$1048576,10,FALSE)</f>
        <v>0</v>
      </c>
      <c r="V27">
        <f>VLOOKUP(C27,'Cloud SQL'!$1:$1048576,10,FALSE)</f>
        <v>0</v>
      </c>
      <c r="W27">
        <f>VLOOKUP(C27,'AlloyDB for PostgreSQL'!$1:$1048576,10,FALSE)</f>
        <v>0</v>
      </c>
      <c r="X27">
        <f>VLOOKUP(C27,Spanner!$1:$1048576,10,FALSE)</f>
        <v>0</v>
      </c>
      <c r="Y27">
        <f>VLOOKUP(C27,Oracle!$1:$1048576,10,FALSE)</f>
        <v>0</v>
      </c>
      <c r="Z27">
        <f>VLOOKUP(C27,'Google Compute Engine'!$1:$1048576,10,FALSE)</f>
        <v>0</v>
      </c>
      <c r="AA27">
        <f>VLOOKUP(C27,'Google Cloud Networking'!$1:$1048576,10,FALSE)</f>
        <v>0</v>
      </c>
      <c r="AB27">
        <f>VLOOKUP(C27,'SAP on Google Cloud'!$1:$1048576,10,FALSE)</f>
        <v>0</v>
      </c>
      <c r="AC27">
        <f>VLOOKUP(C27,'Google Cloud VMware Engine'!$1:$1048576,10,FALSE)</f>
        <v>0</v>
      </c>
      <c r="AD27">
        <f>VLOOKUP(C27,'Google Distributed Cloud'!$1:$1048576,10,FALSE)</f>
        <v>0</v>
      </c>
      <c r="AE27">
        <f>VLOOKUP(C27,'Cloud Security'!$1:$1048576,10,FALSE)</f>
        <v>0</v>
      </c>
      <c r="AF27">
        <f>VLOOKUP(C27,'Security Command Center'!$1:$1048576,10,FALSE)</f>
        <v>0</v>
      </c>
      <c r="AG27">
        <f>VLOOKUP(C27,'Security Operations'!$1:$1048576,10,FALSE)</f>
        <v>0</v>
      </c>
      <c r="AH27">
        <f>VLOOKUP(C27,'Google Threat Intelligence'!$1:$1048576,10,FALSE)</f>
        <v>0</v>
      </c>
      <c r="AI27">
        <f>VLOOKUP(C27,'Vertex AI Platform'!$1:$1048576,10,FALSE)</f>
        <v>0</v>
      </c>
      <c r="AJ27">
        <f>VLOOKUP(C27,'AI Applications'!$1:$1048576,10,FALSE)</f>
        <v>0</v>
      </c>
      <c r="AK27">
        <f>VLOOKUP(C27,'Gemini Enterprise'!$1:$1048576,10,FALSE)</f>
        <v>0</v>
      </c>
      <c r="AL27">
        <f>VLOOKUP(C27,'Customer Engagement Suite'!$1:$1048576,10,FALSE)</f>
        <v>0</v>
      </c>
      <c r="AM27">
        <f t="shared" si="0"/>
        <v>0</v>
      </c>
    </row>
    <row r="28" spans="1:39">
      <c r="A28" s="5" t="s">
        <v>179</v>
      </c>
      <c r="B28" s="5" t="s">
        <v>99</v>
      </c>
      <c r="C28" s="6" t="s">
        <v>180</v>
      </c>
      <c r="D28" s="7" t="s">
        <v>82</v>
      </c>
      <c r="E28" s="7" t="s">
        <v>83</v>
      </c>
      <c r="F28" s="7" t="s">
        <v>107</v>
      </c>
      <c r="G28" s="5" t="s">
        <v>102</v>
      </c>
      <c r="H28" s="5" t="s">
        <v>108</v>
      </c>
      <c r="I28" s="7" t="s">
        <v>78</v>
      </c>
      <c r="J28" s="7" t="s">
        <v>181</v>
      </c>
      <c r="K28" s="7" t="s">
        <v>110</v>
      </c>
      <c r="L28" s="6" t="s">
        <v>111</v>
      </c>
      <c r="M28" s="10" t="s">
        <v>182</v>
      </c>
      <c r="N28">
        <f>VLOOKUP(C28,BigQuery!$1:$1048576,10,FALSE)</f>
        <v>0</v>
      </c>
      <c r="O28">
        <f>VLOOKUP(C28,Looker!$1:$1048576,10,FALSE)</f>
        <v>0</v>
      </c>
      <c r="P28">
        <f>VLOOKUP(C28,Dataflow!$1:$1048576,10,FALSE)</f>
        <v>0</v>
      </c>
      <c r="Q28">
        <f>VLOOKUP(C28,Dataproc!$1:$1048576,10,FALSE)</f>
        <v>0</v>
      </c>
      <c r="R28">
        <f>VLOOKUP(C28,'Google Kubernetes Engine'!$1:$1048576,10,FALSE)</f>
        <v>0</v>
      </c>
      <c r="S28">
        <f>VLOOKUP(C28,'Apigee API Management'!$1:$1048576,10,FALSE)</f>
        <v>0</v>
      </c>
      <c r="T28">
        <f>VLOOKUP(C28,'Cloud Run'!$1:$1048576,10,FALSE)</f>
        <v>0</v>
      </c>
      <c r="U28">
        <f>VLOOKUP(C28,Workspace!$1:$1048576,10,FALSE)</f>
        <v>0</v>
      </c>
      <c r="V28">
        <f>VLOOKUP(C28,'Cloud SQL'!$1:$1048576,10,FALSE)</f>
        <v>0</v>
      </c>
      <c r="W28">
        <f>VLOOKUP(C28,'AlloyDB for PostgreSQL'!$1:$1048576,10,FALSE)</f>
        <v>0</v>
      </c>
      <c r="X28">
        <f>VLOOKUP(C28,Spanner!$1:$1048576,10,FALSE)</f>
        <v>0</v>
      </c>
      <c r="Y28">
        <f>VLOOKUP(C28,Oracle!$1:$1048576,10,FALSE)</f>
        <v>0</v>
      </c>
      <c r="Z28">
        <f>VLOOKUP(C28,'Google Compute Engine'!$1:$1048576,10,FALSE)</f>
        <v>0</v>
      </c>
      <c r="AA28">
        <f>VLOOKUP(C28,'Google Cloud Networking'!$1:$1048576,10,FALSE)</f>
        <v>0</v>
      </c>
      <c r="AB28">
        <f>VLOOKUP(C28,'SAP on Google Cloud'!$1:$1048576,10,FALSE)</f>
        <v>0</v>
      </c>
      <c r="AC28">
        <f>VLOOKUP(C28,'Google Cloud VMware Engine'!$1:$1048576,10,FALSE)</f>
        <v>0</v>
      </c>
      <c r="AD28">
        <f>VLOOKUP(C28,'Google Distributed Cloud'!$1:$1048576,10,FALSE)</f>
        <v>0</v>
      </c>
      <c r="AE28">
        <f>VLOOKUP(C28,'Cloud Security'!$1:$1048576,10,FALSE)</f>
        <v>0</v>
      </c>
      <c r="AF28">
        <f>VLOOKUP(C28,'Security Command Center'!$1:$1048576,10,FALSE)</f>
        <v>0</v>
      </c>
      <c r="AG28">
        <f>VLOOKUP(C28,'Security Operations'!$1:$1048576,10,FALSE)</f>
        <v>0</v>
      </c>
      <c r="AH28">
        <f>VLOOKUP(C28,'Google Threat Intelligence'!$1:$1048576,10,FALSE)</f>
        <v>0</v>
      </c>
      <c r="AI28">
        <f>VLOOKUP(C28,'Vertex AI Platform'!$1:$1048576,10,FALSE)</f>
        <v>0</v>
      </c>
      <c r="AJ28">
        <f>VLOOKUP(C28,'AI Applications'!$1:$1048576,10,FALSE)</f>
        <v>0</v>
      </c>
      <c r="AK28">
        <f>VLOOKUP(C28,'Gemini Enterprise'!$1:$1048576,10,FALSE)</f>
        <v>0</v>
      </c>
      <c r="AL28">
        <f>VLOOKUP(C28,'Customer Engagement Suite'!$1:$1048576,10,FALSE)</f>
        <v>0</v>
      </c>
      <c r="AM28">
        <f t="shared" si="0"/>
        <v>0</v>
      </c>
    </row>
    <row r="29" spans="1:39">
      <c r="A29" s="5" t="s">
        <v>183</v>
      </c>
      <c r="B29" s="5" t="s">
        <v>99</v>
      </c>
      <c r="C29" s="6" t="s">
        <v>184</v>
      </c>
      <c r="D29" s="7" t="s">
        <v>105</v>
      </c>
      <c r="E29" s="7" t="s">
        <v>106</v>
      </c>
      <c r="F29" s="7" t="s">
        <v>84</v>
      </c>
      <c r="G29" s="5" t="s">
        <v>102</v>
      </c>
      <c r="H29" s="5" t="s">
        <v>103</v>
      </c>
      <c r="I29" s="7" t="s">
        <v>78</v>
      </c>
      <c r="J29" s="7" t="s">
        <v>79</v>
      </c>
      <c r="K29" s="7" t="s">
        <v>87</v>
      </c>
      <c r="L29" s="6" t="s">
        <v>6</v>
      </c>
      <c r="M29" s="10"/>
      <c r="N29">
        <f>VLOOKUP(C29,BigQuery!$1:$1048576,10,FALSE)</f>
        <v>0</v>
      </c>
      <c r="O29">
        <f>VLOOKUP(C29,Looker!$1:$1048576,10,FALSE)</f>
        <v>0</v>
      </c>
      <c r="P29">
        <f>VLOOKUP(C29,Dataflow!$1:$1048576,10,FALSE)</f>
        <v>0</v>
      </c>
      <c r="Q29">
        <f>VLOOKUP(C29,Dataproc!$1:$1048576,10,FALSE)</f>
        <v>0</v>
      </c>
      <c r="R29">
        <f>VLOOKUP(C29,'Google Kubernetes Engine'!$1:$1048576,10,FALSE)</f>
        <v>0</v>
      </c>
      <c r="S29">
        <f>VLOOKUP(C29,'Apigee API Management'!$1:$1048576,10,FALSE)</f>
        <v>0</v>
      </c>
      <c r="T29">
        <f>VLOOKUP(C29,'Cloud Run'!$1:$1048576,10,FALSE)</f>
        <v>0</v>
      </c>
      <c r="U29">
        <f>VLOOKUP(C29,Workspace!$1:$1048576,10,FALSE)</f>
        <v>0</v>
      </c>
      <c r="V29">
        <f>VLOOKUP(C29,'Cloud SQL'!$1:$1048576,10,FALSE)</f>
        <v>0</v>
      </c>
      <c r="W29">
        <f>VLOOKUP(C29,'AlloyDB for PostgreSQL'!$1:$1048576,10,FALSE)</f>
        <v>0</v>
      </c>
      <c r="X29">
        <f>VLOOKUP(C29,Spanner!$1:$1048576,10,FALSE)</f>
        <v>0</v>
      </c>
      <c r="Y29">
        <f>VLOOKUP(C29,Oracle!$1:$1048576,10,FALSE)</f>
        <v>0</v>
      </c>
      <c r="Z29">
        <f>VLOOKUP(C29,'Google Compute Engine'!$1:$1048576,10,FALSE)</f>
        <v>0</v>
      </c>
      <c r="AA29">
        <f>VLOOKUP(C29,'Google Cloud Networking'!$1:$1048576,10,FALSE)</f>
        <v>0</v>
      </c>
      <c r="AB29">
        <f>VLOOKUP(C29,'SAP on Google Cloud'!$1:$1048576,10,FALSE)</f>
        <v>0</v>
      </c>
      <c r="AC29">
        <f>VLOOKUP(C29,'Google Cloud VMware Engine'!$1:$1048576,10,FALSE)</f>
        <v>0</v>
      </c>
      <c r="AD29">
        <f>VLOOKUP(C29,'Google Distributed Cloud'!$1:$1048576,10,FALSE)</f>
        <v>0</v>
      </c>
      <c r="AE29">
        <f>VLOOKUP(C29,'Cloud Security'!$1:$1048576,10,FALSE)</f>
        <v>0</v>
      </c>
      <c r="AF29">
        <f>VLOOKUP(C29,'Security Command Center'!$1:$1048576,10,FALSE)</f>
        <v>0</v>
      </c>
      <c r="AG29">
        <f>VLOOKUP(C29,'Security Operations'!$1:$1048576,10,FALSE)</f>
        <v>0</v>
      </c>
      <c r="AH29">
        <f>VLOOKUP(C29,'Google Threat Intelligence'!$1:$1048576,10,FALSE)</f>
        <v>0</v>
      </c>
      <c r="AI29">
        <f>VLOOKUP(C29,'Vertex AI Platform'!$1:$1048576,10,FALSE)</f>
        <v>0</v>
      </c>
      <c r="AJ29">
        <f>VLOOKUP(C29,'AI Applications'!$1:$1048576,10,FALSE)</f>
        <v>0</v>
      </c>
      <c r="AK29">
        <f>VLOOKUP(C29,'Gemini Enterprise'!$1:$1048576,10,FALSE)</f>
        <v>0</v>
      </c>
      <c r="AL29">
        <f>VLOOKUP(C29,'Customer Engagement Suite'!$1:$1048576,10,FALSE)</f>
        <v>0</v>
      </c>
      <c r="AM29">
        <f t="shared" si="0"/>
        <v>0</v>
      </c>
    </row>
    <row r="30" spans="1:39">
      <c r="A30" s="5" t="s">
        <v>185</v>
      </c>
      <c r="B30" s="5" t="s">
        <v>99</v>
      </c>
      <c r="C30" s="6" t="s">
        <v>186</v>
      </c>
      <c r="D30" s="7" t="s">
        <v>115</v>
      </c>
      <c r="E30" s="7" t="s">
        <v>116</v>
      </c>
      <c r="F30" s="7" t="s">
        <v>160</v>
      </c>
      <c r="G30" s="5" t="s">
        <v>102</v>
      </c>
      <c r="H30" s="5" t="s">
        <v>157</v>
      </c>
      <c r="I30" s="7" t="s">
        <v>78</v>
      </c>
      <c r="J30" s="7" t="s">
        <v>79</v>
      </c>
      <c r="K30" s="7" t="s">
        <v>127</v>
      </c>
      <c r="L30" s="6" t="s">
        <v>111</v>
      </c>
      <c r="M30" s="10"/>
      <c r="N30">
        <f>VLOOKUP(C30,BigQuery!$1:$1048576,10,FALSE)</f>
        <v>0</v>
      </c>
      <c r="O30">
        <f>VLOOKUP(C30,Looker!$1:$1048576,10,FALSE)</f>
        <v>0</v>
      </c>
      <c r="P30">
        <f>VLOOKUP(C30,Dataflow!$1:$1048576,10,FALSE)</f>
        <v>0</v>
      </c>
      <c r="Q30">
        <f>VLOOKUP(C30,Dataproc!$1:$1048576,10,FALSE)</f>
        <v>0</v>
      </c>
      <c r="R30">
        <f>VLOOKUP(C30,'Google Kubernetes Engine'!$1:$1048576,10,FALSE)</f>
        <v>0</v>
      </c>
      <c r="S30">
        <f>VLOOKUP(C30,'Apigee API Management'!$1:$1048576,10,FALSE)</f>
        <v>0</v>
      </c>
      <c r="T30">
        <f>VLOOKUP(C30,'Cloud Run'!$1:$1048576,10,FALSE)</f>
        <v>0</v>
      </c>
      <c r="U30">
        <f>VLOOKUP(C30,Workspace!$1:$1048576,10,FALSE)</f>
        <v>0</v>
      </c>
      <c r="V30">
        <f>VLOOKUP(C30,'Cloud SQL'!$1:$1048576,10,FALSE)</f>
        <v>0</v>
      </c>
      <c r="W30">
        <f>VLOOKUP(C30,'AlloyDB for PostgreSQL'!$1:$1048576,10,FALSE)</f>
        <v>0</v>
      </c>
      <c r="X30">
        <f>VLOOKUP(C30,Spanner!$1:$1048576,10,FALSE)</f>
        <v>0</v>
      </c>
      <c r="Y30">
        <f>VLOOKUP(C30,Oracle!$1:$1048576,10,FALSE)</f>
        <v>0</v>
      </c>
      <c r="Z30">
        <f>VLOOKUP(C30,'Google Compute Engine'!$1:$1048576,10,FALSE)</f>
        <v>0</v>
      </c>
      <c r="AA30">
        <f>VLOOKUP(C30,'Google Cloud Networking'!$1:$1048576,10,FALSE)</f>
        <v>0</v>
      </c>
      <c r="AB30">
        <f>VLOOKUP(C30,'SAP on Google Cloud'!$1:$1048576,10,FALSE)</f>
        <v>0</v>
      </c>
      <c r="AC30">
        <f>VLOOKUP(C30,'Google Cloud VMware Engine'!$1:$1048576,10,FALSE)</f>
        <v>0</v>
      </c>
      <c r="AD30">
        <f>VLOOKUP(C30,'Google Distributed Cloud'!$1:$1048576,10,FALSE)</f>
        <v>0</v>
      </c>
      <c r="AE30">
        <f>VLOOKUP(C30,'Cloud Security'!$1:$1048576,10,FALSE)</f>
        <v>0</v>
      </c>
      <c r="AF30">
        <f>VLOOKUP(C30,'Security Command Center'!$1:$1048576,10,FALSE)</f>
        <v>0</v>
      </c>
      <c r="AG30">
        <f>VLOOKUP(C30,'Security Operations'!$1:$1048576,10,FALSE)</f>
        <v>0</v>
      </c>
      <c r="AH30">
        <f>VLOOKUP(C30,'Google Threat Intelligence'!$1:$1048576,10,FALSE)</f>
        <v>0</v>
      </c>
      <c r="AI30">
        <f>VLOOKUP(C30,'Vertex AI Platform'!$1:$1048576,10,FALSE)</f>
        <v>0</v>
      </c>
      <c r="AJ30">
        <f>VLOOKUP(C30,'AI Applications'!$1:$1048576,10,FALSE)</f>
        <v>0</v>
      </c>
      <c r="AK30">
        <f>VLOOKUP(C30,'Gemini Enterprise'!$1:$1048576,10,FALSE)</f>
        <v>0</v>
      </c>
      <c r="AL30">
        <f>VLOOKUP(C30,'Customer Engagement Suite'!$1:$1048576,10,FALSE)</f>
        <v>0</v>
      </c>
      <c r="AM30">
        <f t="shared" si="0"/>
        <v>0</v>
      </c>
    </row>
    <row r="31" spans="1:39">
      <c r="A31" s="5" t="s">
        <v>187</v>
      </c>
      <c r="B31" s="5" t="s">
        <v>89</v>
      </c>
      <c r="C31" s="6" t="s">
        <v>188</v>
      </c>
      <c r="D31" s="7" t="s">
        <v>105</v>
      </c>
      <c r="E31" s="7" t="s">
        <v>106</v>
      </c>
      <c r="F31" s="7" t="s">
        <v>189</v>
      </c>
      <c r="G31" s="5" t="s">
        <v>76</v>
      </c>
      <c r="H31" s="5" t="s">
        <v>94</v>
      </c>
      <c r="I31" s="7" t="s">
        <v>78</v>
      </c>
      <c r="J31" s="7" t="s">
        <v>95</v>
      </c>
      <c r="K31" s="7" t="s">
        <v>96</v>
      </c>
      <c r="L31" s="6" t="s">
        <v>24</v>
      </c>
      <c r="M31" s="10"/>
      <c r="N31">
        <f>VLOOKUP(C31,BigQuery!$1:$1048576,10,FALSE)</f>
        <v>0</v>
      </c>
      <c r="O31">
        <f>VLOOKUP(C31,Looker!$1:$1048576,10,FALSE)</f>
        <v>0</v>
      </c>
      <c r="P31">
        <f>VLOOKUP(C31,Dataflow!$1:$1048576,10,FALSE)</f>
        <v>0</v>
      </c>
      <c r="Q31">
        <f>VLOOKUP(C31,Dataproc!$1:$1048576,10,FALSE)</f>
        <v>0</v>
      </c>
      <c r="R31">
        <f>VLOOKUP(C31,'Google Kubernetes Engine'!$1:$1048576,10,FALSE)</f>
        <v>0</v>
      </c>
      <c r="S31">
        <f>VLOOKUP(C31,'Apigee API Management'!$1:$1048576,10,FALSE)</f>
        <v>0</v>
      </c>
      <c r="T31">
        <f>VLOOKUP(C31,'Cloud Run'!$1:$1048576,10,FALSE)</f>
        <v>0</v>
      </c>
      <c r="U31">
        <f>VLOOKUP(C31,Workspace!$1:$1048576,10,FALSE)</f>
        <v>0</v>
      </c>
      <c r="V31">
        <f>VLOOKUP(C31,'Cloud SQL'!$1:$1048576,10,FALSE)</f>
        <v>0</v>
      </c>
      <c r="W31">
        <f>VLOOKUP(C31,'AlloyDB for PostgreSQL'!$1:$1048576,10,FALSE)</f>
        <v>0</v>
      </c>
      <c r="X31">
        <f>VLOOKUP(C31,Spanner!$1:$1048576,10,FALSE)</f>
        <v>0</v>
      </c>
      <c r="Y31">
        <f>VLOOKUP(C31,Oracle!$1:$1048576,10,FALSE)</f>
        <v>0</v>
      </c>
      <c r="Z31">
        <f>VLOOKUP(C31,'Google Compute Engine'!$1:$1048576,10,FALSE)</f>
        <v>0</v>
      </c>
      <c r="AA31">
        <f>VLOOKUP(C31,'Google Cloud Networking'!$1:$1048576,10,FALSE)</f>
        <v>0</v>
      </c>
      <c r="AB31">
        <f>VLOOKUP(C31,'SAP on Google Cloud'!$1:$1048576,10,FALSE)</f>
        <v>0</v>
      </c>
      <c r="AC31">
        <f>VLOOKUP(C31,'Google Cloud VMware Engine'!$1:$1048576,10,FALSE)</f>
        <v>0</v>
      </c>
      <c r="AD31">
        <f>VLOOKUP(C31,'Google Distributed Cloud'!$1:$1048576,10,FALSE)</f>
        <v>0</v>
      </c>
      <c r="AE31">
        <f>VLOOKUP(C31,'Cloud Security'!$1:$1048576,10,FALSE)</f>
        <v>0</v>
      </c>
      <c r="AF31">
        <f>VLOOKUP(C31,'Security Command Center'!$1:$1048576,10,FALSE)</f>
        <v>0</v>
      </c>
      <c r="AG31">
        <f>VLOOKUP(C31,'Security Operations'!$1:$1048576,10,FALSE)</f>
        <v>0</v>
      </c>
      <c r="AH31">
        <f>VLOOKUP(C31,'Google Threat Intelligence'!$1:$1048576,10,FALSE)</f>
        <v>0</v>
      </c>
      <c r="AI31">
        <f>VLOOKUP(C31,'Vertex AI Platform'!$1:$1048576,10,FALSE)</f>
        <v>0</v>
      </c>
      <c r="AJ31">
        <f>VLOOKUP(C31,'AI Applications'!$1:$1048576,10,FALSE)</f>
        <v>0</v>
      </c>
      <c r="AK31">
        <f>VLOOKUP(C31,'Gemini Enterprise'!$1:$1048576,10,FALSE)</f>
        <v>0</v>
      </c>
      <c r="AL31">
        <f>VLOOKUP(C31,'Customer Engagement Suite'!$1:$1048576,10,FALSE)</f>
        <v>0</v>
      </c>
      <c r="AM31">
        <f t="shared" si="0"/>
        <v>0</v>
      </c>
    </row>
    <row r="32" spans="1:39">
      <c r="A32" s="5" t="s">
        <v>190</v>
      </c>
      <c r="B32" s="5" t="s">
        <v>99</v>
      </c>
      <c r="C32" s="11" t="s">
        <v>191</v>
      </c>
      <c r="D32" s="7" t="s">
        <v>115</v>
      </c>
      <c r="E32" s="7" t="s">
        <v>116</v>
      </c>
      <c r="F32" s="7" t="s">
        <v>133</v>
      </c>
      <c r="G32" s="5" t="s">
        <v>102</v>
      </c>
      <c r="H32" s="5" t="s">
        <v>103</v>
      </c>
      <c r="I32" s="7" t="s">
        <v>78</v>
      </c>
      <c r="J32" s="7" t="s">
        <v>79</v>
      </c>
      <c r="K32" s="7" t="s">
        <v>87</v>
      </c>
      <c r="L32" s="6" t="s">
        <v>6</v>
      </c>
      <c r="M32" s="10"/>
      <c r="N32" t="e">
        <f>VLOOKUP(C32,BigQuery!$1:$1048576,10,FALSE)</f>
        <v>#N/A</v>
      </c>
      <c r="O32" t="e">
        <f>VLOOKUP(C32,Looker!$1:$1048576,10,FALSE)</f>
        <v>#N/A</v>
      </c>
      <c r="P32" t="e">
        <f>VLOOKUP(C32,Dataflow!$1:$1048576,10,FALSE)</f>
        <v>#N/A</v>
      </c>
      <c r="Q32" t="e">
        <f>VLOOKUP(C32,Dataproc!$1:$1048576,10,FALSE)</f>
        <v>#N/A</v>
      </c>
      <c r="R32" t="e">
        <f>VLOOKUP(C32,'Google Kubernetes Engine'!$1:$1048576,10,FALSE)</f>
        <v>#N/A</v>
      </c>
      <c r="S32" t="e">
        <f>VLOOKUP(C32,'Apigee API Management'!$1:$1048576,10,FALSE)</f>
        <v>#N/A</v>
      </c>
      <c r="T32" t="e">
        <f>VLOOKUP(C32,'Cloud Run'!$1:$1048576,10,FALSE)</f>
        <v>#N/A</v>
      </c>
      <c r="U32" t="e">
        <f>VLOOKUP(C32,Workspace!$1:$1048576,10,FALSE)</f>
        <v>#N/A</v>
      </c>
      <c r="V32" t="e">
        <f>VLOOKUP(C32,'Cloud SQL'!$1:$1048576,10,FALSE)</f>
        <v>#N/A</v>
      </c>
      <c r="W32" t="e">
        <f>VLOOKUP(C32,'AlloyDB for PostgreSQL'!$1:$1048576,10,FALSE)</f>
        <v>#N/A</v>
      </c>
      <c r="X32" t="e">
        <f>VLOOKUP(C32,Spanner!$1:$1048576,10,FALSE)</f>
        <v>#N/A</v>
      </c>
      <c r="Y32" t="e">
        <f>VLOOKUP(C32,Oracle!$1:$1048576,10,FALSE)</f>
        <v>#N/A</v>
      </c>
      <c r="Z32" t="e">
        <f>VLOOKUP(C32,'Google Compute Engine'!$1:$1048576,10,FALSE)</f>
        <v>#N/A</v>
      </c>
      <c r="AA32" t="e">
        <f>VLOOKUP(C32,'Google Cloud Networking'!$1:$1048576,10,FALSE)</f>
        <v>#N/A</v>
      </c>
      <c r="AB32" t="e">
        <f>VLOOKUP(C32,'SAP on Google Cloud'!$1:$1048576,10,FALSE)</f>
        <v>#N/A</v>
      </c>
      <c r="AC32" t="e">
        <f>VLOOKUP(C32,'Google Cloud VMware Engine'!$1:$1048576,10,FALSE)</f>
        <v>#N/A</v>
      </c>
      <c r="AD32" t="e">
        <f>VLOOKUP(C32,'Google Distributed Cloud'!$1:$1048576,10,FALSE)</f>
        <v>#N/A</v>
      </c>
      <c r="AE32" t="e">
        <f>VLOOKUP(C32,'Cloud Security'!$1:$1048576,10,FALSE)</f>
        <v>#N/A</v>
      </c>
      <c r="AF32" t="e">
        <f>VLOOKUP(C32,'Security Command Center'!$1:$1048576,10,FALSE)</f>
        <v>#N/A</v>
      </c>
      <c r="AG32" t="e">
        <f>VLOOKUP(C32,'Security Operations'!$1:$1048576,10,FALSE)</f>
        <v>#N/A</v>
      </c>
      <c r="AH32" t="e">
        <f>VLOOKUP(C32,'Google Threat Intelligence'!$1:$1048576,10,FALSE)</f>
        <v>#N/A</v>
      </c>
      <c r="AI32" t="e">
        <f>VLOOKUP(C32,'Vertex AI Platform'!$1:$1048576,10,FALSE)</f>
        <v>#N/A</v>
      </c>
      <c r="AJ32" t="e">
        <f>VLOOKUP(C32,'AI Applications'!$1:$1048576,10,FALSE)</f>
        <v>#N/A</v>
      </c>
      <c r="AK32" t="e">
        <f>VLOOKUP(C32,'Gemini Enterprise'!$1:$1048576,10,FALSE)</f>
        <v>#N/A</v>
      </c>
      <c r="AL32" t="e">
        <f>VLOOKUP(C32,'Customer Engagement Suite'!$1:$1048576,10,FALSE)</f>
        <v>#N/A</v>
      </c>
      <c r="AM32" t="e">
        <f t="shared" si="0"/>
        <v>#N/A</v>
      </c>
    </row>
    <row r="33" spans="1:39">
      <c r="A33" s="5" t="s">
        <v>192</v>
      </c>
      <c r="B33" s="5" t="s">
        <v>99</v>
      </c>
      <c r="C33" s="6" t="s">
        <v>193</v>
      </c>
      <c r="D33" s="7" t="s">
        <v>105</v>
      </c>
      <c r="E33" s="7" t="s">
        <v>106</v>
      </c>
      <c r="F33" s="7" t="s">
        <v>125</v>
      </c>
      <c r="G33" s="5" t="s">
        <v>102</v>
      </c>
      <c r="H33" s="5" t="s">
        <v>157</v>
      </c>
      <c r="I33" s="7" t="s">
        <v>78</v>
      </c>
      <c r="J33" s="7" t="s">
        <v>79</v>
      </c>
      <c r="K33" s="7" t="s">
        <v>127</v>
      </c>
      <c r="L33" s="6" t="s">
        <v>111</v>
      </c>
      <c r="M33" s="10"/>
      <c r="N33">
        <f>VLOOKUP(C33,BigQuery!$1:$1048576,10,FALSE)</f>
        <v>0</v>
      </c>
      <c r="O33">
        <f>VLOOKUP(C33,Looker!$1:$1048576,10,FALSE)</f>
        <v>0</v>
      </c>
      <c r="P33">
        <f>VLOOKUP(C33,Dataflow!$1:$1048576,10,FALSE)</f>
        <v>0</v>
      </c>
      <c r="Q33">
        <f>VLOOKUP(C33,Dataproc!$1:$1048576,10,FALSE)</f>
        <v>0</v>
      </c>
      <c r="R33">
        <f>VLOOKUP(C33,'Google Kubernetes Engine'!$1:$1048576,10,FALSE)</f>
        <v>0</v>
      </c>
      <c r="S33">
        <f>VLOOKUP(C33,'Apigee API Management'!$1:$1048576,10,FALSE)</f>
        <v>0</v>
      </c>
      <c r="T33">
        <f>VLOOKUP(C33,'Cloud Run'!$1:$1048576,10,FALSE)</f>
        <v>0</v>
      </c>
      <c r="U33">
        <f>VLOOKUP(C33,Workspace!$1:$1048576,10,FALSE)</f>
        <v>0</v>
      </c>
      <c r="V33">
        <f>VLOOKUP(C33,'Cloud SQL'!$1:$1048576,10,FALSE)</f>
        <v>0</v>
      </c>
      <c r="W33">
        <f>VLOOKUP(C33,'AlloyDB for PostgreSQL'!$1:$1048576,10,FALSE)</f>
        <v>0</v>
      </c>
      <c r="X33">
        <f>VLOOKUP(C33,Spanner!$1:$1048576,10,FALSE)</f>
        <v>0</v>
      </c>
      <c r="Y33">
        <f>VLOOKUP(C33,Oracle!$1:$1048576,10,FALSE)</f>
        <v>0</v>
      </c>
      <c r="Z33">
        <f>VLOOKUP(C33,'Google Compute Engine'!$1:$1048576,10,FALSE)</f>
        <v>0</v>
      </c>
      <c r="AA33">
        <f>VLOOKUP(C33,'Google Cloud Networking'!$1:$1048576,10,FALSE)</f>
        <v>0</v>
      </c>
      <c r="AB33">
        <f>VLOOKUP(C33,'SAP on Google Cloud'!$1:$1048576,10,FALSE)</f>
        <v>0</v>
      </c>
      <c r="AC33">
        <f>VLOOKUP(C33,'Google Cloud VMware Engine'!$1:$1048576,10,FALSE)</f>
        <v>0</v>
      </c>
      <c r="AD33">
        <f>VLOOKUP(C33,'Google Distributed Cloud'!$1:$1048576,10,FALSE)</f>
        <v>0</v>
      </c>
      <c r="AE33">
        <f>VLOOKUP(C33,'Cloud Security'!$1:$1048576,10,FALSE)</f>
        <v>0</v>
      </c>
      <c r="AF33">
        <f>VLOOKUP(C33,'Security Command Center'!$1:$1048576,10,FALSE)</f>
        <v>0</v>
      </c>
      <c r="AG33">
        <f>VLOOKUP(C33,'Security Operations'!$1:$1048576,10,FALSE)</f>
        <v>0</v>
      </c>
      <c r="AH33">
        <f>VLOOKUP(C33,'Google Threat Intelligence'!$1:$1048576,10,FALSE)</f>
        <v>0</v>
      </c>
      <c r="AI33">
        <f>VLOOKUP(C33,'Vertex AI Platform'!$1:$1048576,10,FALSE)</f>
        <v>0</v>
      </c>
      <c r="AJ33">
        <f>VLOOKUP(C33,'AI Applications'!$1:$1048576,10,FALSE)</f>
        <v>0</v>
      </c>
      <c r="AK33">
        <f>VLOOKUP(C33,'Gemini Enterprise'!$1:$1048576,10,FALSE)</f>
        <v>0</v>
      </c>
      <c r="AL33">
        <f>VLOOKUP(C33,'Customer Engagement Suite'!$1:$1048576,10,FALSE)</f>
        <v>0</v>
      </c>
      <c r="AM33">
        <f t="shared" si="0"/>
        <v>0</v>
      </c>
    </row>
    <row r="34" spans="1:39">
      <c r="A34" s="5" t="s">
        <v>194</v>
      </c>
      <c r="B34" s="5" t="s">
        <v>114</v>
      </c>
      <c r="C34" s="6" t="s">
        <v>195</v>
      </c>
      <c r="D34" s="7" t="s">
        <v>115</v>
      </c>
      <c r="E34" s="7" t="s">
        <v>116</v>
      </c>
      <c r="F34" s="7" t="s">
        <v>196</v>
      </c>
      <c r="G34" s="5" t="s">
        <v>102</v>
      </c>
      <c r="H34" s="5" t="s">
        <v>108</v>
      </c>
      <c r="I34" s="7" t="s">
        <v>78</v>
      </c>
      <c r="J34" s="7" t="s">
        <v>181</v>
      </c>
      <c r="K34" s="7" t="s">
        <v>110</v>
      </c>
      <c r="L34" s="6" t="s">
        <v>111</v>
      </c>
      <c r="M34" s="10" t="s">
        <v>182</v>
      </c>
      <c r="N34">
        <f>VLOOKUP(C34,BigQuery!$1:$1048576,10,FALSE)</f>
        <v>0</v>
      </c>
      <c r="O34">
        <f>VLOOKUP(C34,Looker!$1:$1048576,10,FALSE)</f>
        <v>0</v>
      </c>
      <c r="P34">
        <f>VLOOKUP(C34,Dataflow!$1:$1048576,10,FALSE)</f>
        <v>0</v>
      </c>
      <c r="Q34">
        <f>VLOOKUP(C34,Dataproc!$1:$1048576,10,FALSE)</f>
        <v>0</v>
      </c>
      <c r="R34">
        <f>VLOOKUP(C34,'Google Kubernetes Engine'!$1:$1048576,10,FALSE)</f>
        <v>0</v>
      </c>
      <c r="S34">
        <f>VLOOKUP(C34,'Apigee API Management'!$1:$1048576,10,FALSE)</f>
        <v>0</v>
      </c>
      <c r="T34">
        <f>VLOOKUP(C34,'Cloud Run'!$1:$1048576,10,FALSE)</f>
        <v>0</v>
      </c>
      <c r="U34">
        <f>VLOOKUP(C34,Workspace!$1:$1048576,10,FALSE)</f>
        <v>0</v>
      </c>
      <c r="V34">
        <f>VLOOKUP(C34,'Cloud SQL'!$1:$1048576,10,FALSE)</f>
        <v>0</v>
      </c>
      <c r="W34">
        <f>VLOOKUP(C34,'AlloyDB for PostgreSQL'!$1:$1048576,10,FALSE)</f>
        <v>0</v>
      </c>
      <c r="X34">
        <f>VLOOKUP(C34,Spanner!$1:$1048576,10,FALSE)</f>
        <v>0</v>
      </c>
      <c r="Y34">
        <f>VLOOKUP(C34,Oracle!$1:$1048576,10,FALSE)</f>
        <v>0</v>
      </c>
      <c r="Z34">
        <f>VLOOKUP(C34,'Google Compute Engine'!$1:$1048576,10,FALSE)</f>
        <v>0</v>
      </c>
      <c r="AA34">
        <f>VLOOKUP(C34,'Google Cloud Networking'!$1:$1048576,10,FALSE)</f>
        <v>0</v>
      </c>
      <c r="AB34">
        <f>VLOOKUP(C34,'SAP on Google Cloud'!$1:$1048576,10,FALSE)</f>
        <v>0</v>
      </c>
      <c r="AC34">
        <f>VLOOKUP(C34,'Google Cloud VMware Engine'!$1:$1048576,10,FALSE)</f>
        <v>0</v>
      </c>
      <c r="AD34">
        <f>VLOOKUP(C34,'Google Distributed Cloud'!$1:$1048576,10,FALSE)</f>
        <v>0</v>
      </c>
      <c r="AE34">
        <f>VLOOKUP(C34,'Cloud Security'!$1:$1048576,10,FALSE)</f>
        <v>0</v>
      </c>
      <c r="AF34">
        <f>VLOOKUP(C34,'Security Command Center'!$1:$1048576,10,FALSE)</f>
        <v>0</v>
      </c>
      <c r="AG34">
        <f>VLOOKUP(C34,'Security Operations'!$1:$1048576,10,FALSE)</f>
        <v>0</v>
      </c>
      <c r="AH34">
        <f>VLOOKUP(C34,'Google Threat Intelligence'!$1:$1048576,10,FALSE)</f>
        <v>0</v>
      </c>
      <c r="AI34">
        <f>VLOOKUP(C34,'Vertex AI Platform'!$1:$1048576,10,FALSE)</f>
        <v>0</v>
      </c>
      <c r="AJ34">
        <f>VLOOKUP(C34,'AI Applications'!$1:$1048576,10,FALSE)</f>
        <v>0</v>
      </c>
      <c r="AK34">
        <f>VLOOKUP(C34,'Gemini Enterprise'!$1:$1048576,10,FALSE)</f>
        <v>0</v>
      </c>
      <c r="AL34">
        <f>VLOOKUP(C34,'Customer Engagement Suite'!$1:$1048576,10,FALSE)</f>
        <v>0</v>
      </c>
      <c r="AM34">
        <f t="shared" si="0"/>
        <v>0</v>
      </c>
    </row>
    <row r="35" spans="1:39">
      <c r="A35" s="5" t="s">
        <v>197</v>
      </c>
      <c r="B35" s="5" t="s">
        <v>99</v>
      </c>
      <c r="C35" s="6" t="s">
        <v>29</v>
      </c>
      <c r="D35" s="7" t="s">
        <v>73</v>
      </c>
      <c r="E35" s="7" t="s">
        <v>74</v>
      </c>
      <c r="F35" s="7" t="s">
        <v>125</v>
      </c>
      <c r="G35" s="5" t="s">
        <v>102</v>
      </c>
      <c r="H35" s="5" t="s">
        <v>157</v>
      </c>
      <c r="I35" s="7" t="s">
        <v>78</v>
      </c>
      <c r="J35" s="7" t="s">
        <v>79</v>
      </c>
      <c r="K35" s="7" t="s">
        <v>127</v>
      </c>
      <c r="L35" s="6" t="s">
        <v>111</v>
      </c>
      <c r="M35" s="10"/>
      <c r="N35">
        <f>VLOOKUP(C35,BigQuery!$1:$1048576,10,FALSE)</f>
        <v>5</v>
      </c>
      <c r="O35">
        <f>VLOOKUP(C35,Looker!$1:$1048576,10,FALSE)</f>
        <v>0</v>
      </c>
      <c r="P35">
        <f>VLOOKUP(C35,Dataflow!$1:$1048576,10,FALSE)</f>
        <v>0</v>
      </c>
      <c r="Q35">
        <f>VLOOKUP(C35,Dataproc!$1:$1048576,10,FALSE)</f>
        <v>0</v>
      </c>
      <c r="R35">
        <f>VLOOKUP(C35,'Google Kubernetes Engine'!$1:$1048576,10,FALSE)</f>
        <v>0</v>
      </c>
      <c r="S35">
        <f>VLOOKUP(C35,'Apigee API Management'!$1:$1048576,10,FALSE)</f>
        <v>0</v>
      </c>
      <c r="T35">
        <f>VLOOKUP(C35,'Cloud Run'!$1:$1048576,10,FALSE)</f>
        <v>0</v>
      </c>
      <c r="U35">
        <f>VLOOKUP(C35,Workspace!$1:$1048576,10,FALSE)</f>
        <v>0</v>
      </c>
      <c r="V35">
        <f>VLOOKUP(C35,'Cloud SQL'!$1:$1048576,10,FALSE)</f>
        <v>0</v>
      </c>
      <c r="W35">
        <f>VLOOKUP(C35,'AlloyDB for PostgreSQL'!$1:$1048576,10,FALSE)</f>
        <v>0</v>
      </c>
      <c r="X35">
        <f>VLOOKUP(C35,Spanner!$1:$1048576,10,FALSE)</f>
        <v>0</v>
      </c>
      <c r="Y35">
        <f>VLOOKUP(C35,Oracle!$1:$1048576,10,FALSE)</f>
        <v>0</v>
      </c>
      <c r="Z35">
        <f>VLOOKUP(C35,'Google Compute Engine'!$1:$1048576,10,FALSE)</f>
        <v>0</v>
      </c>
      <c r="AA35">
        <f>VLOOKUP(C35,'Google Cloud Networking'!$1:$1048576,10,FALSE)</f>
        <v>0</v>
      </c>
      <c r="AB35">
        <f>VLOOKUP(C35,'SAP on Google Cloud'!$1:$1048576,10,FALSE)</f>
        <v>0</v>
      </c>
      <c r="AC35">
        <f>VLOOKUP(C35,'Google Cloud VMware Engine'!$1:$1048576,10,FALSE)</f>
        <v>0</v>
      </c>
      <c r="AD35">
        <f>VLOOKUP(C35,'Google Distributed Cloud'!$1:$1048576,10,FALSE)</f>
        <v>0</v>
      </c>
      <c r="AE35">
        <f>VLOOKUP(C35,'Cloud Security'!$1:$1048576,10,FALSE)</f>
        <v>0</v>
      </c>
      <c r="AF35">
        <f>VLOOKUP(C35,'Security Command Center'!$1:$1048576,10,FALSE)</f>
        <v>0</v>
      </c>
      <c r="AG35">
        <f>VLOOKUP(C35,'Security Operations'!$1:$1048576,10,FALSE)</f>
        <v>0</v>
      </c>
      <c r="AH35">
        <f>VLOOKUP(C35,'Google Threat Intelligence'!$1:$1048576,10,FALSE)</f>
        <v>0</v>
      </c>
      <c r="AI35">
        <f>VLOOKUP(C35,'Vertex AI Platform'!$1:$1048576,10,FALSE)</f>
        <v>0</v>
      </c>
      <c r="AJ35">
        <f>VLOOKUP(C35,'AI Applications'!$1:$1048576,10,FALSE)</f>
        <v>0</v>
      </c>
      <c r="AK35">
        <f>VLOOKUP(C35,'Gemini Enterprise'!$1:$1048576,10,FALSE)</f>
        <v>0</v>
      </c>
      <c r="AL35">
        <f>VLOOKUP(C35,'Customer Engagement Suite'!$1:$1048576,10,FALSE)</f>
        <v>0</v>
      </c>
      <c r="AM35">
        <f t="shared" si="0"/>
        <v>5</v>
      </c>
    </row>
    <row r="36" spans="1:39">
      <c r="A36" s="5" t="s">
        <v>198</v>
      </c>
      <c r="B36" s="5" t="s">
        <v>99</v>
      </c>
      <c r="C36" s="6" t="s">
        <v>199</v>
      </c>
      <c r="D36" s="7" t="s">
        <v>115</v>
      </c>
      <c r="E36" s="7" t="s">
        <v>116</v>
      </c>
      <c r="F36" s="7" t="s">
        <v>200</v>
      </c>
      <c r="G36" s="5" t="s">
        <v>102</v>
      </c>
      <c r="H36" s="5" t="s">
        <v>103</v>
      </c>
      <c r="I36" s="7" t="s">
        <v>78</v>
      </c>
      <c r="J36" s="7" t="s">
        <v>79</v>
      </c>
      <c r="K36" s="7" t="s">
        <v>87</v>
      </c>
      <c r="L36" s="6" t="s">
        <v>6</v>
      </c>
      <c r="M36" s="10"/>
      <c r="N36">
        <f>VLOOKUP(C36,BigQuery!$1:$1048576,10,FALSE)</f>
        <v>0</v>
      </c>
      <c r="O36">
        <f>VLOOKUP(C36,Looker!$1:$1048576,10,FALSE)</f>
        <v>0</v>
      </c>
      <c r="P36">
        <f>VLOOKUP(C36,Dataflow!$1:$1048576,10,FALSE)</f>
        <v>0</v>
      </c>
      <c r="Q36">
        <f>VLOOKUP(C36,Dataproc!$1:$1048576,10,FALSE)</f>
        <v>0</v>
      </c>
      <c r="R36">
        <f>VLOOKUP(C36,'Google Kubernetes Engine'!$1:$1048576,10,FALSE)</f>
        <v>0</v>
      </c>
      <c r="S36">
        <f>VLOOKUP(C36,'Apigee API Management'!$1:$1048576,10,FALSE)</f>
        <v>0</v>
      </c>
      <c r="T36">
        <f>VLOOKUP(C36,'Cloud Run'!$1:$1048576,10,FALSE)</f>
        <v>0</v>
      </c>
      <c r="U36">
        <f>VLOOKUP(C36,Workspace!$1:$1048576,10,FALSE)</f>
        <v>0</v>
      </c>
      <c r="V36">
        <f>VLOOKUP(C36,'Cloud SQL'!$1:$1048576,10,FALSE)</f>
        <v>0</v>
      </c>
      <c r="W36">
        <f>VLOOKUP(C36,'AlloyDB for PostgreSQL'!$1:$1048576,10,FALSE)</f>
        <v>0</v>
      </c>
      <c r="X36">
        <f>VLOOKUP(C36,Spanner!$1:$1048576,10,FALSE)</f>
        <v>0</v>
      </c>
      <c r="Y36">
        <f>VLOOKUP(C36,Oracle!$1:$1048576,10,FALSE)</f>
        <v>0</v>
      </c>
      <c r="Z36">
        <f>VLOOKUP(C36,'Google Compute Engine'!$1:$1048576,10,FALSE)</f>
        <v>0</v>
      </c>
      <c r="AA36">
        <f>VLOOKUP(C36,'Google Cloud Networking'!$1:$1048576,10,FALSE)</f>
        <v>0</v>
      </c>
      <c r="AB36">
        <f>VLOOKUP(C36,'SAP on Google Cloud'!$1:$1048576,10,FALSE)</f>
        <v>0</v>
      </c>
      <c r="AC36">
        <f>VLOOKUP(C36,'Google Cloud VMware Engine'!$1:$1048576,10,FALSE)</f>
        <v>0</v>
      </c>
      <c r="AD36">
        <f>VLOOKUP(C36,'Google Distributed Cloud'!$1:$1048576,10,FALSE)</f>
        <v>0</v>
      </c>
      <c r="AE36">
        <f>VLOOKUP(C36,'Cloud Security'!$1:$1048576,10,FALSE)</f>
        <v>0</v>
      </c>
      <c r="AF36">
        <f>VLOOKUP(C36,'Security Command Center'!$1:$1048576,10,FALSE)</f>
        <v>0</v>
      </c>
      <c r="AG36">
        <f>VLOOKUP(C36,'Security Operations'!$1:$1048576,10,FALSE)</f>
        <v>0</v>
      </c>
      <c r="AH36">
        <f>VLOOKUP(C36,'Google Threat Intelligence'!$1:$1048576,10,FALSE)</f>
        <v>0</v>
      </c>
      <c r="AI36">
        <f>VLOOKUP(C36,'Vertex AI Platform'!$1:$1048576,10,FALSE)</f>
        <v>0</v>
      </c>
      <c r="AJ36">
        <f>VLOOKUP(C36,'AI Applications'!$1:$1048576,10,FALSE)</f>
        <v>0</v>
      </c>
      <c r="AK36">
        <f>VLOOKUP(C36,'Gemini Enterprise'!$1:$1048576,10,FALSE)</f>
        <v>0</v>
      </c>
      <c r="AL36" t="e">
        <f>VLOOKUP(C36,'Customer Engagement Suite'!$1:$1048576,10,FALSE)</f>
        <v>#N/A</v>
      </c>
      <c r="AM36" t="e">
        <f t="shared" si="0"/>
        <v>#N/A</v>
      </c>
    </row>
    <row r="37" spans="1:39">
      <c r="A37" s="5" t="s">
        <v>201</v>
      </c>
      <c r="B37" s="5" t="s">
        <v>99</v>
      </c>
      <c r="C37" s="6" t="s">
        <v>15</v>
      </c>
      <c r="D37" s="7" t="s">
        <v>115</v>
      </c>
      <c r="E37" s="7" t="s">
        <v>116</v>
      </c>
      <c r="F37" s="7" t="s">
        <v>117</v>
      </c>
      <c r="G37" s="5" t="s">
        <v>102</v>
      </c>
      <c r="H37" s="5" t="s">
        <v>103</v>
      </c>
      <c r="I37" s="7" t="s">
        <v>78</v>
      </c>
      <c r="J37" s="7" t="s">
        <v>86</v>
      </c>
      <c r="K37" s="7" t="s">
        <v>87</v>
      </c>
      <c r="L37" s="6" t="s">
        <v>6</v>
      </c>
      <c r="M37" s="10"/>
      <c r="N37">
        <f>VLOOKUP(C37,BigQuery!$1:$1048576,10,FALSE)</f>
        <v>20</v>
      </c>
      <c r="O37">
        <f>VLOOKUP(C37,Looker!$1:$1048576,10,FALSE)</f>
        <v>0</v>
      </c>
      <c r="P37">
        <f>VLOOKUP(C37,Dataflow!$1:$1048576,10,FALSE)</f>
        <v>25</v>
      </c>
      <c r="Q37">
        <f>VLOOKUP(C37,Dataproc!$1:$1048576,10,FALSE)</f>
        <v>10</v>
      </c>
      <c r="R37">
        <f>VLOOKUP(C37,'Google Kubernetes Engine'!$1:$1048576,10,FALSE)</f>
        <v>0</v>
      </c>
      <c r="S37">
        <f>VLOOKUP(C37,'Apigee API Management'!$1:$1048576,10,FALSE)</f>
        <v>0</v>
      </c>
      <c r="T37">
        <f>VLOOKUP(C37,'Cloud Run'!$1:$1048576,10,FALSE)</f>
        <v>0</v>
      </c>
      <c r="U37">
        <f>VLOOKUP(C37,Workspace!$1:$1048576,10,FALSE)</f>
        <v>0</v>
      </c>
      <c r="V37">
        <f>VLOOKUP(C37,'Cloud SQL'!$1:$1048576,10,FALSE)</f>
        <v>0</v>
      </c>
      <c r="W37">
        <f>VLOOKUP(C37,'AlloyDB for PostgreSQL'!$1:$1048576,10,FALSE)</f>
        <v>0</v>
      </c>
      <c r="X37">
        <f>VLOOKUP(C37,Spanner!$1:$1048576,10,FALSE)</f>
        <v>0</v>
      </c>
      <c r="Y37">
        <f>VLOOKUP(C37,Oracle!$1:$1048576,10,FALSE)</f>
        <v>0</v>
      </c>
      <c r="Z37">
        <f>VLOOKUP(C37,'Google Compute Engine'!$1:$1048576,10,FALSE)</f>
        <v>0</v>
      </c>
      <c r="AA37">
        <f>VLOOKUP(C37,'Google Cloud Networking'!$1:$1048576,10,FALSE)</f>
        <v>0</v>
      </c>
      <c r="AB37">
        <f>VLOOKUP(C37,'SAP on Google Cloud'!$1:$1048576,10,FALSE)</f>
        <v>0</v>
      </c>
      <c r="AC37">
        <f>VLOOKUP(C37,'Google Cloud VMware Engine'!$1:$1048576,10,FALSE)</f>
        <v>0</v>
      </c>
      <c r="AD37">
        <f>VLOOKUP(C37,'Google Distributed Cloud'!$1:$1048576,10,FALSE)</f>
        <v>0</v>
      </c>
      <c r="AE37">
        <f>VLOOKUP(C37,'Cloud Security'!$1:$1048576,10,FALSE)</f>
        <v>0</v>
      </c>
      <c r="AF37">
        <f>VLOOKUP(C37,'Security Command Center'!$1:$1048576,10,FALSE)</f>
        <v>0</v>
      </c>
      <c r="AG37">
        <f>VLOOKUP(C37,'Security Operations'!$1:$1048576,10,FALSE)</f>
        <v>0</v>
      </c>
      <c r="AH37">
        <f>VLOOKUP(C37,'Google Threat Intelligence'!$1:$1048576,10,FALSE)</f>
        <v>0</v>
      </c>
      <c r="AI37">
        <f>VLOOKUP(C37,'Vertex AI Platform'!$1:$1048576,10,FALSE)</f>
        <v>5</v>
      </c>
      <c r="AJ37">
        <f>VLOOKUP(C37,'AI Applications'!$1:$1048576,10,FALSE)</f>
        <v>0</v>
      </c>
      <c r="AK37">
        <f>VLOOKUP(C37,'Gemini Enterprise'!$1:$1048576,10,FALSE)</f>
        <v>0</v>
      </c>
      <c r="AL37">
        <f>VLOOKUP(C37,'Customer Engagement Suite'!$1:$1048576,10,FALSE)</f>
        <v>0</v>
      </c>
      <c r="AM37">
        <f t="shared" si="0"/>
        <v>60</v>
      </c>
    </row>
    <row r="38" spans="1:39">
      <c r="A38" s="5" t="s">
        <v>202</v>
      </c>
      <c r="B38" s="5" t="s">
        <v>99</v>
      </c>
      <c r="C38" s="6" t="s">
        <v>203</v>
      </c>
      <c r="D38" s="7" t="s">
        <v>115</v>
      </c>
      <c r="E38" s="7" t="s">
        <v>116</v>
      </c>
      <c r="F38" s="7" t="s">
        <v>142</v>
      </c>
      <c r="G38" s="5" t="s">
        <v>102</v>
      </c>
      <c r="H38" s="5" t="s">
        <v>103</v>
      </c>
      <c r="I38" s="7" t="s">
        <v>78</v>
      </c>
      <c r="J38" s="7" t="s">
        <v>79</v>
      </c>
      <c r="K38" s="7" t="s">
        <v>87</v>
      </c>
      <c r="L38" s="6" t="s">
        <v>6</v>
      </c>
      <c r="M38" s="10"/>
      <c r="N38">
        <f>VLOOKUP(C38,BigQuery!$1:$1048576,10,FALSE)</f>
        <v>0</v>
      </c>
      <c r="O38">
        <f>VLOOKUP(C38,Looker!$1:$1048576,10,FALSE)</f>
        <v>0</v>
      </c>
      <c r="P38">
        <f>VLOOKUP(C38,Dataflow!$1:$1048576,10,FALSE)</f>
        <v>0</v>
      </c>
      <c r="Q38">
        <f>VLOOKUP(C38,Dataproc!$1:$1048576,10,FALSE)</f>
        <v>0</v>
      </c>
      <c r="R38">
        <f>VLOOKUP(C38,'Google Kubernetes Engine'!$1:$1048576,10,FALSE)</f>
        <v>0</v>
      </c>
      <c r="S38">
        <f>VLOOKUP(C38,'Apigee API Management'!$1:$1048576,10,FALSE)</f>
        <v>0</v>
      </c>
      <c r="T38">
        <f>VLOOKUP(C38,'Cloud Run'!$1:$1048576,10,FALSE)</f>
        <v>0</v>
      </c>
      <c r="U38">
        <f>VLOOKUP(C38,Workspace!$1:$1048576,10,FALSE)</f>
        <v>0</v>
      </c>
      <c r="V38">
        <f>VLOOKUP(C38,'Cloud SQL'!$1:$1048576,10,FALSE)</f>
        <v>0</v>
      </c>
      <c r="W38">
        <f>VLOOKUP(C38,'AlloyDB for PostgreSQL'!$1:$1048576,10,FALSE)</f>
        <v>0</v>
      </c>
      <c r="X38">
        <f>VLOOKUP(C38,Spanner!$1:$1048576,10,FALSE)</f>
        <v>0</v>
      </c>
      <c r="Y38">
        <f>VLOOKUP(C38,Oracle!$1:$1048576,10,FALSE)</f>
        <v>0</v>
      </c>
      <c r="Z38">
        <f>VLOOKUP(C38,'Google Compute Engine'!$1:$1048576,10,FALSE)</f>
        <v>0</v>
      </c>
      <c r="AA38">
        <f>VLOOKUP(C38,'Google Cloud Networking'!$1:$1048576,10,FALSE)</f>
        <v>0</v>
      </c>
      <c r="AB38">
        <f>VLOOKUP(C38,'SAP on Google Cloud'!$1:$1048576,10,FALSE)</f>
        <v>0</v>
      </c>
      <c r="AC38">
        <f>VLOOKUP(C38,'Google Cloud VMware Engine'!$1:$1048576,10,FALSE)</f>
        <v>0</v>
      </c>
      <c r="AD38">
        <f>VLOOKUP(C38,'Google Distributed Cloud'!$1:$1048576,10,FALSE)</f>
        <v>0</v>
      </c>
      <c r="AE38">
        <f>VLOOKUP(C38,'Cloud Security'!$1:$1048576,10,FALSE)</f>
        <v>0</v>
      </c>
      <c r="AF38">
        <f>VLOOKUP(C38,'Security Command Center'!$1:$1048576,10,FALSE)</f>
        <v>0</v>
      </c>
      <c r="AG38">
        <f>VLOOKUP(C38,'Security Operations'!$1:$1048576,10,FALSE)</f>
        <v>0</v>
      </c>
      <c r="AH38">
        <f>VLOOKUP(C38,'Google Threat Intelligence'!$1:$1048576,10,FALSE)</f>
        <v>0</v>
      </c>
      <c r="AI38">
        <f>VLOOKUP(C38,'Vertex AI Platform'!$1:$1048576,10,FALSE)</f>
        <v>0</v>
      </c>
      <c r="AJ38">
        <f>VLOOKUP(C38,'AI Applications'!$1:$1048576,10,FALSE)</f>
        <v>0</v>
      </c>
      <c r="AK38">
        <f>VLOOKUP(C38,'Gemini Enterprise'!$1:$1048576,10,FALSE)</f>
        <v>0</v>
      </c>
      <c r="AL38" t="e">
        <f>VLOOKUP(C38,'Customer Engagement Suite'!$1:$1048576,10,FALSE)</f>
        <v>#N/A</v>
      </c>
      <c r="AM38" t="e">
        <f t="shared" si="0"/>
        <v>#N/A</v>
      </c>
    </row>
    <row r="39" spans="1:39">
      <c r="A39" s="5" t="s">
        <v>204</v>
      </c>
      <c r="B39" s="5" t="s">
        <v>99</v>
      </c>
      <c r="C39" s="6" t="s">
        <v>205</v>
      </c>
      <c r="D39" s="7" t="s">
        <v>82</v>
      </c>
      <c r="E39" s="7" t="s">
        <v>83</v>
      </c>
      <c r="F39" s="7" t="s">
        <v>101</v>
      </c>
      <c r="G39" s="5" t="s">
        <v>102</v>
      </c>
      <c r="H39" s="5" t="s">
        <v>103</v>
      </c>
      <c r="I39" s="7" t="s">
        <v>78</v>
      </c>
      <c r="J39" s="7" t="s">
        <v>206</v>
      </c>
      <c r="K39" s="7" t="s">
        <v>87</v>
      </c>
      <c r="L39" s="6" t="s">
        <v>6</v>
      </c>
      <c r="M39" s="10"/>
      <c r="N39">
        <f>VLOOKUP(C39,BigQuery!$1:$1048576,10,FALSE)</f>
        <v>0</v>
      </c>
      <c r="O39">
        <f>VLOOKUP(C39,Looker!$1:$1048576,10,FALSE)</f>
        <v>0</v>
      </c>
      <c r="P39">
        <f>VLOOKUP(C39,Dataflow!$1:$1048576,10,FALSE)</f>
        <v>0</v>
      </c>
      <c r="Q39">
        <f>VLOOKUP(C39,Dataproc!$1:$1048576,10,FALSE)</f>
        <v>0</v>
      </c>
      <c r="R39">
        <f>VLOOKUP(C39,'Google Kubernetes Engine'!$1:$1048576,10,FALSE)</f>
        <v>0</v>
      </c>
      <c r="S39">
        <f>VLOOKUP(C39,'Apigee API Management'!$1:$1048576,10,FALSE)</f>
        <v>0</v>
      </c>
      <c r="T39">
        <f>VLOOKUP(C39,'Cloud Run'!$1:$1048576,10,FALSE)</f>
        <v>0</v>
      </c>
      <c r="U39">
        <f>VLOOKUP(C39,Workspace!$1:$1048576,10,FALSE)</f>
        <v>0</v>
      </c>
      <c r="V39">
        <f>VLOOKUP(C39,'Cloud SQL'!$1:$1048576,10,FALSE)</f>
        <v>0</v>
      </c>
      <c r="W39">
        <f>VLOOKUP(C39,'AlloyDB for PostgreSQL'!$1:$1048576,10,FALSE)</f>
        <v>0</v>
      </c>
      <c r="X39">
        <f>VLOOKUP(C39,Spanner!$1:$1048576,10,FALSE)</f>
        <v>0</v>
      </c>
      <c r="Y39">
        <f>VLOOKUP(C39,Oracle!$1:$1048576,10,FALSE)</f>
        <v>0</v>
      </c>
      <c r="Z39">
        <f>VLOOKUP(C39,'Google Compute Engine'!$1:$1048576,10,FALSE)</f>
        <v>0</v>
      </c>
      <c r="AA39">
        <f>VLOOKUP(C39,'Google Cloud Networking'!$1:$1048576,10,FALSE)</f>
        <v>0</v>
      </c>
      <c r="AB39">
        <f>VLOOKUP(C39,'SAP on Google Cloud'!$1:$1048576,10,FALSE)</f>
        <v>0</v>
      </c>
      <c r="AC39">
        <f>VLOOKUP(C39,'Google Cloud VMware Engine'!$1:$1048576,10,FALSE)</f>
        <v>0</v>
      </c>
      <c r="AD39">
        <f>VLOOKUP(C39,'Google Distributed Cloud'!$1:$1048576,10,FALSE)</f>
        <v>0</v>
      </c>
      <c r="AE39">
        <f>VLOOKUP(C39,'Cloud Security'!$1:$1048576,10,FALSE)</f>
        <v>0</v>
      </c>
      <c r="AF39">
        <f>VLOOKUP(C39,'Security Command Center'!$1:$1048576,10,FALSE)</f>
        <v>0</v>
      </c>
      <c r="AG39">
        <f>VLOOKUP(C39,'Security Operations'!$1:$1048576,10,FALSE)</f>
        <v>0</v>
      </c>
      <c r="AH39">
        <f>VLOOKUP(C39,'Google Threat Intelligence'!$1:$1048576,10,FALSE)</f>
        <v>0</v>
      </c>
      <c r="AI39">
        <f>VLOOKUP(C39,'Vertex AI Platform'!$1:$1048576,10,FALSE)</f>
        <v>0</v>
      </c>
      <c r="AJ39">
        <f>VLOOKUP(C39,'AI Applications'!$1:$1048576,10,FALSE)</f>
        <v>0</v>
      </c>
      <c r="AK39">
        <f>VLOOKUP(C39,'Gemini Enterprise'!$1:$1048576,10,FALSE)</f>
        <v>0</v>
      </c>
      <c r="AL39">
        <f>VLOOKUP(C39,'Customer Engagement Suite'!$1:$1048576,10,FALSE)</f>
        <v>0</v>
      </c>
      <c r="AM39">
        <f t="shared" si="0"/>
        <v>0</v>
      </c>
    </row>
    <row r="40" spans="1:39">
      <c r="A40" s="5" t="s">
        <v>207</v>
      </c>
      <c r="B40" s="5" t="s">
        <v>99</v>
      </c>
      <c r="C40" s="6" t="s">
        <v>28</v>
      </c>
      <c r="D40" s="7" t="s">
        <v>115</v>
      </c>
      <c r="E40" s="7" t="s">
        <v>116</v>
      </c>
      <c r="F40" s="7" t="s">
        <v>139</v>
      </c>
      <c r="G40" s="5" t="s">
        <v>102</v>
      </c>
      <c r="H40" s="5" t="s">
        <v>103</v>
      </c>
      <c r="I40" s="7" t="s">
        <v>78</v>
      </c>
      <c r="J40" s="7" t="s">
        <v>86</v>
      </c>
      <c r="K40" s="7" t="s">
        <v>87</v>
      </c>
      <c r="L40" s="6" t="s">
        <v>6</v>
      </c>
      <c r="M40" s="10"/>
      <c r="N40">
        <f>VLOOKUP(C40,BigQuery!$1:$1048576,10,FALSE)</f>
        <v>0</v>
      </c>
      <c r="O40">
        <f>VLOOKUP(C40,Looker!$1:$1048576,10,FALSE)</f>
        <v>0</v>
      </c>
      <c r="P40">
        <f>VLOOKUP(C40,Dataflow!$1:$1048576,10,FALSE)</f>
        <v>5</v>
      </c>
      <c r="Q40">
        <f>VLOOKUP(C40,Dataproc!$1:$1048576,10,FALSE)</f>
        <v>0</v>
      </c>
      <c r="R40">
        <f>VLOOKUP(C40,'Google Kubernetes Engine'!$1:$1048576,10,FALSE)</f>
        <v>0</v>
      </c>
      <c r="S40">
        <f>VLOOKUP(C40,'Apigee API Management'!$1:$1048576,10,FALSE)</f>
        <v>0</v>
      </c>
      <c r="T40">
        <f>VLOOKUP(C40,'Cloud Run'!$1:$1048576,10,FALSE)</f>
        <v>0</v>
      </c>
      <c r="U40">
        <f>VLOOKUP(C40,Workspace!$1:$1048576,10,FALSE)</f>
        <v>0</v>
      </c>
      <c r="V40">
        <f>VLOOKUP(C40,'Cloud SQL'!$1:$1048576,10,FALSE)</f>
        <v>0</v>
      </c>
      <c r="W40">
        <f>VLOOKUP(C40,'AlloyDB for PostgreSQL'!$1:$1048576,10,FALSE)</f>
        <v>0</v>
      </c>
      <c r="X40">
        <f>VLOOKUP(C40,Spanner!$1:$1048576,10,FALSE)</f>
        <v>0</v>
      </c>
      <c r="Y40">
        <f>VLOOKUP(C40,Oracle!$1:$1048576,10,FALSE)</f>
        <v>0</v>
      </c>
      <c r="Z40">
        <f>VLOOKUP(C40,'Google Compute Engine'!$1:$1048576,10,FALSE)</f>
        <v>0</v>
      </c>
      <c r="AA40">
        <f>VLOOKUP(C40,'Google Cloud Networking'!$1:$1048576,10,FALSE)</f>
        <v>0</v>
      </c>
      <c r="AB40">
        <f>VLOOKUP(C40,'SAP on Google Cloud'!$1:$1048576,10,FALSE)</f>
        <v>0</v>
      </c>
      <c r="AC40">
        <f>VLOOKUP(C40,'Google Cloud VMware Engine'!$1:$1048576,10,FALSE)</f>
        <v>0</v>
      </c>
      <c r="AD40">
        <f>VLOOKUP(C40,'Google Distributed Cloud'!$1:$1048576,10,FALSE)</f>
        <v>0</v>
      </c>
      <c r="AE40">
        <f>VLOOKUP(C40,'Cloud Security'!$1:$1048576,10,FALSE)</f>
        <v>0</v>
      </c>
      <c r="AF40">
        <f>VLOOKUP(C40,'Security Command Center'!$1:$1048576,10,FALSE)</f>
        <v>0</v>
      </c>
      <c r="AG40">
        <f>VLOOKUP(C40,'Security Operations'!$1:$1048576,10,FALSE)</f>
        <v>0</v>
      </c>
      <c r="AH40">
        <f>VLOOKUP(C40,'Google Threat Intelligence'!$1:$1048576,10,FALSE)</f>
        <v>0</v>
      </c>
      <c r="AI40">
        <f>VLOOKUP(C40,'Vertex AI Platform'!$1:$1048576,10,FALSE)</f>
        <v>0</v>
      </c>
      <c r="AJ40">
        <f>VLOOKUP(C40,'AI Applications'!$1:$1048576,10,FALSE)</f>
        <v>0</v>
      </c>
      <c r="AK40">
        <f>VLOOKUP(C40,'Gemini Enterprise'!$1:$1048576,10,FALSE)</f>
        <v>0</v>
      </c>
      <c r="AL40">
        <f>VLOOKUP(C40,'Customer Engagement Suite'!$1:$1048576,10,FALSE)</f>
        <v>0</v>
      </c>
      <c r="AM40">
        <f t="shared" si="0"/>
        <v>5</v>
      </c>
    </row>
    <row r="41" spans="1:39">
      <c r="A41" s="5" t="s">
        <v>208</v>
      </c>
      <c r="B41" s="5" t="s">
        <v>99</v>
      </c>
      <c r="C41" s="6" t="s">
        <v>209</v>
      </c>
      <c r="D41" s="7" t="s">
        <v>82</v>
      </c>
      <c r="E41" s="7" t="s">
        <v>83</v>
      </c>
      <c r="F41" s="7" t="s">
        <v>142</v>
      </c>
      <c r="G41" s="5" t="s">
        <v>102</v>
      </c>
      <c r="H41" s="5" t="s">
        <v>103</v>
      </c>
      <c r="I41" s="7" t="s">
        <v>78</v>
      </c>
      <c r="J41" s="7" t="s">
        <v>79</v>
      </c>
      <c r="K41" s="7" t="s">
        <v>87</v>
      </c>
      <c r="L41" s="6" t="s">
        <v>6</v>
      </c>
      <c r="M41" s="10"/>
      <c r="N41">
        <f>VLOOKUP(C41,BigQuery!$1:$1048576,10,FALSE)</f>
        <v>0</v>
      </c>
      <c r="O41">
        <f>VLOOKUP(C41,Looker!$1:$1048576,10,FALSE)</f>
        <v>0</v>
      </c>
      <c r="P41">
        <f>VLOOKUP(C41,Dataflow!$1:$1048576,10,FALSE)</f>
        <v>0</v>
      </c>
      <c r="Q41">
        <f>VLOOKUP(C41,Dataproc!$1:$1048576,10,FALSE)</f>
        <v>0</v>
      </c>
      <c r="R41">
        <f>VLOOKUP(C41,'Google Kubernetes Engine'!$1:$1048576,10,FALSE)</f>
        <v>0</v>
      </c>
      <c r="S41">
        <f>VLOOKUP(C41,'Apigee API Management'!$1:$1048576,10,FALSE)</f>
        <v>0</v>
      </c>
      <c r="T41">
        <f>VLOOKUP(C41,'Cloud Run'!$1:$1048576,10,FALSE)</f>
        <v>0</v>
      </c>
      <c r="U41">
        <f>VLOOKUP(C41,Workspace!$1:$1048576,10,FALSE)</f>
        <v>0</v>
      </c>
      <c r="V41">
        <f>VLOOKUP(C41,'Cloud SQL'!$1:$1048576,10,FALSE)</f>
        <v>0</v>
      </c>
      <c r="W41">
        <f>VLOOKUP(C41,'AlloyDB for PostgreSQL'!$1:$1048576,10,FALSE)</f>
        <v>0</v>
      </c>
      <c r="X41">
        <f>VLOOKUP(C41,Spanner!$1:$1048576,10,FALSE)</f>
        <v>0</v>
      </c>
      <c r="Y41">
        <f>VLOOKUP(C41,Oracle!$1:$1048576,10,FALSE)</f>
        <v>0</v>
      </c>
      <c r="Z41">
        <f>VLOOKUP(C41,'Google Compute Engine'!$1:$1048576,10,FALSE)</f>
        <v>0</v>
      </c>
      <c r="AA41">
        <f>VLOOKUP(C41,'Google Cloud Networking'!$1:$1048576,10,FALSE)</f>
        <v>0</v>
      </c>
      <c r="AB41">
        <f>VLOOKUP(C41,'SAP on Google Cloud'!$1:$1048576,10,FALSE)</f>
        <v>0</v>
      </c>
      <c r="AC41">
        <f>VLOOKUP(C41,'Google Cloud VMware Engine'!$1:$1048576,10,FALSE)</f>
        <v>0</v>
      </c>
      <c r="AD41">
        <f>VLOOKUP(C41,'Google Distributed Cloud'!$1:$1048576,10,FALSE)</f>
        <v>0</v>
      </c>
      <c r="AE41">
        <f>VLOOKUP(C41,'Cloud Security'!$1:$1048576,10,FALSE)</f>
        <v>0</v>
      </c>
      <c r="AF41">
        <f>VLOOKUP(C41,'Security Command Center'!$1:$1048576,10,FALSE)</f>
        <v>0</v>
      </c>
      <c r="AG41">
        <f>VLOOKUP(C41,'Security Operations'!$1:$1048576,10,FALSE)</f>
        <v>0</v>
      </c>
      <c r="AH41">
        <f>VLOOKUP(C41,'Google Threat Intelligence'!$1:$1048576,10,FALSE)</f>
        <v>0</v>
      </c>
      <c r="AI41">
        <f>VLOOKUP(C41,'Vertex AI Platform'!$1:$1048576,10,FALSE)</f>
        <v>0</v>
      </c>
      <c r="AJ41">
        <f>VLOOKUP(C41,'AI Applications'!$1:$1048576,10,FALSE)</f>
        <v>0</v>
      </c>
      <c r="AK41">
        <f>VLOOKUP(C41,'Gemini Enterprise'!$1:$1048576,10,FALSE)</f>
        <v>0</v>
      </c>
      <c r="AL41">
        <f>VLOOKUP(C41,'Customer Engagement Suite'!$1:$1048576,10,FALSE)</f>
        <v>0</v>
      </c>
      <c r="AM41">
        <f t="shared" si="0"/>
        <v>0</v>
      </c>
    </row>
    <row r="42" spans="1:39">
      <c r="A42" s="5" t="s">
        <v>210</v>
      </c>
      <c r="B42" s="5" t="s">
        <v>99</v>
      </c>
      <c r="C42" s="6" t="s">
        <v>20</v>
      </c>
      <c r="D42" s="7" t="s">
        <v>211</v>
      </c>
      <c r="E42" s="7" t="s">
        <v>132</v>
      </c>
      <c r="F42" s="7" t="s">
        <v>136</v>
      </c>
      <c r="G42" s="5" t="s">
        <v>102</v>
      </c>
      <c r="H42" s="5" t="s">
        <v>108</v>
      </c>
      <c r="I42" s="7" t="s">
        <v>78</v>
      </c>
      <c r="J42" s="7" t="s">
        <v>137</v>
      </c>
      <c r="K42" s="7" t="s">
        <v>110</v>
      </c>
      <c r="L42" s="6" t="s">
        <v>111</v>
      </c>
      <c r="M42" s="10" t="s">
        <v>145</v>
      </c>
      <c r="N42">
        <f>VLOOKUP(C42,BigQuery!$1:$1048576,10,FALSE)</f>
        <v>0</v>
      </c>
      <c r="O42">
        <f>VLOOKUP(C42,Looker!$1:$1048576,10,FALSE)</f>
        <v>0</v>
      </c>
      <c r="P42">
        <f>VLOOKUP(C42,Dataflow!$1:$1048576,10,FALSE)</f>
        <v>0</v>
      </c>
      <c r="Q42">
        <f>VLOOKUP(C42,Dataproc!$1:$1048576,10,FALSE)</f>
        <v>0</v>
      </c>
      <c r="R42">
        <f>VLOOKUP(C42,'Google Kubernetes Engine'!$1:$1048576,10,FALSE)</f>
        <v>10</v>
      </c>
      <c r="S42">
        <f>VLOOKUP(C42,'Apigee API Management'!$1:$1048576,10,FALSE)</f>
        <v>0</v>
      </c>
      <c r="T42">
        <f>VLOOKUP(C42,'Cloud Run'!$1:$1048576,10,FALSE)</f>
        <v>20</v>
      </c>
      <c r="U42">
        <f>VLOOKUP(C42,Workspace!$1:$1048576,10,FALSE)</f>
        <v>0</v>
      </c>
      <c r="V42">
        <f>VLOOKUP(C42,'Cloud SQL'!$1:$1048576,10,FALSE)</f>
        <v>5</v>
      </c>
      <c r="W42">
        <f>VLOOKUP(C42,'AlloyDB for PostgreSQL'!$1:$1048576,10,FALSE)</f>
        <v>0</v>
      </c>
      <c r="X42">
        <f>VLOOKUP(C42,Spanner!$1:$1048576,10,FALSE)</f>
        <v>0</v>
      </c>
      <c r="Y42">
        <f>VLOOKUP(C42,Oracle!$1:$1048576,10,FALSE)</f>
        <v>0</v>
      </c>
      <c r="Z42">
        <f>VLOOKUP(C42,'Google Compute Engine'!$1:$1048576,10,FALSE)</f>
        <v>0</v>
      </c>
      <c r="AA42">
        <f>VLOOKUP(C42,'Google Cloud Networking'!$1:$1048576,10,FALSE)</f>
        <v>0</v>
      </c>
      <c r="AB42">
        <f>VLOOKUP(C42,'SAP on Google Cloud'!$1:$1048576,10,FALSE)</f>
        <v>0</v>
      </c>
      <c r="AC42">
        <f>VLOOKUP(C42,'Google Cloud VMware Engine'!$1:$1048576,10,FALSE)</f>
        <v>0</v>
      </c>
      <c r="AD42">
        <f>VLOOKUP(C42,'Google Distributed Cloud'!$1:$1048576,10,FALSE)</f>
        <v>0</v>
      </c>
      <c r="AE42">
        <f>VLOOKUP(C42,'Cloud Security'!$1:$1048576,10,FALSE)</f>
        <v>0</v>
      </c>
      <c r="AF42">
        <f>VLOOKUP(C42,'Security Command Center'!$1:$1048576,10,FALSE)</f>
        <v>0</v>
      </c>
      <c r="AG42">
        <f>VLOOKUP(C42,'Security Operations'!$1:$1048576,10,FALSE)</f>
        <v>0</v>
      </c>
      <c r="AH42">
        <f>VLOOKUP(C42,'Google Threat Intelligence'!$1:$1048576,10,FALSE)</f>
        <v>0</v>
      </c>
      <c r="AI42">
        <f>VLOOKUP(C42,'Vertex AI Platform'!$1:$1048576,10,FALSE)</f>
        <v>0</v>
      </c>
      <c r="AJ42">
        <f>VLOOKUP(C42,'AI Applications'!$1:$1048576,10,FALSE)</f>
        <v>0</v>
      </c>
      <c r="AK42">
        <f>VLOOKUP(C42,'Gemini Enterprise'!$1:$1048576,10,FALSE)</f>
        <v>0</v>
      </c>
      <c r="AL42">
        <f>VLOOKUP(C42,'Customer Engagement Suite'!$1:$1048576,10,FALSE)</f>
        <v>0</v>
      </c>
      <c r="AM42">
        <f t="shared" si="0"/>
        <v>35</v>
      </c>
    </row>
    <row r="43" spans="1:39">
      <c r="A43" s="5" t="s">
        <v>212</v>
      </c>
      <c r="B43" s="5" t="s">
        <v>99</v>
      </c>
      <c r="C43" s="6" t="s">
        <v>12</v>
      </c>
      <c r="D43" s="7" t="s">
        <v>82</v>
      </c>
      <c r="E43" s="7" t="s">
        <v>83</v>
      </c>
      <c r="F43" s="7" t="s">
        <v>75</v>
      </c>
      <c r="G43" s="5" t="s">
        <v>102</v>
      </c>
      <c r="H43" s="5" t="s">
        <v>213</v>
      </c>
      <c r="I43" s="7" t="s">
        <v>78</v>
      </c>
      <c r="J43" s="7" t="s">
        <v>79</v>
      </c>
      <c r="K43" s="7" t="s">
        <v>80</v>
      </c>
      <c r="L43" s="8" t="s">
        <v>75</v>
      </c>
      <c r="M43" s="9"/>
      <c r="N43">
        <f>VLOOKUP(C43,BigQuery!$1:$1048576,10,FALSE)</f>
        <v>23</v>
      </c>
      <c r="O43">
        <f>VLOOKUP(C43,Looker!$1:$1048576,10,FALSE)</f>
        <v>8</v>
      </c>
      <c r="P43">
        <f>VLOOKUP(C43,Dataflow!$1:$1048576,10,FALSE)</f>
        <v>13</v>
      </c>
      <c r="Q43">
        <f>VLOOKUP(C43,Dataproc!$1:$1048576,10,FALSE)</f>
        <v>8</v>
      </c>
      <c r="R43">
        <f>VLOOKUP(C43,'Google Kubernetes Engine'!$1:$1048576,10,FALSE)</f>
        <v>0</v>
      </c>
      <c r="S43">
        <f>VLOOKUP(C43,'Apigee API Management'!$1:$1048576,10,FALSE)</f>
        <v>0</v>
      </c>
      <c r="T43">
        <f>VLOOKUP(C43,'Cloud Run'!$1:$1048576,10,FALSE)</f>
        <v>0</v>
      </c>
      <c r="U43">
        <f>VLOOKUP(C43,Workspace!$1:$1048576,10,FALSE)</f>
        <v>0</v>
      </c>
      <c r="V43">
        <f>VLOOKUP(C43,'Cloud SQL'!$1:$1048576,10,FALSE)</f>
        <v>0</v>
      </c>
      <c r="W43">
        <f>VLOOKUP(C43,'AlloyDB for PostgreSQL'!$1:$1048576,10,FALSE)</f>
        <v>0</v>
      </c>
      <c r="X43">
        <f>VLOOKUP(C43,Spanner!$1:$1048576,10,FALSE)</f>
        <v>0</v>
      </c>
      <c r="Y43">
        <f>VLOOKUP(C43,Oracle!$1:$1048576,10,FALSE)</f>
        <v>0</v>
      </c>
      <c r="Z43">
        <f>VLOOKUP(C43,'Google Compute Engine'!$1:$1048576,10,FALSE)</f>
        <v>0</v>
      </c>
      <c r="AA43">
        <f>VLOOKUP(C43,'Google Cloud Networking'!$1:$1048576,10,FALSE)</f>
        <v>0</v>
      </c>
      <c r="AB43">
        <f>VLOOKUP(C43,'SAP on Google Cloud'!$1:$1048576,10,FALSE)</f>
        <v>0</v>
      </c>
      <c r="AC43">
        <f>VLOOKUP(C43,'Google Cloud VMware Engine'!$1:$1048576,10,FALSE)</f>
        <v>0</v>
      </c>
      <c r="AD43">
        <f>VLOOKUP(C43,'Google Distributed Cloud'!$1:$1048576,10,FALSE)</f>
        <v>0</v>
      </c>
      <c r="AE43">
        <f>VLOOKUP(C43,'Cloud Security'!$1:$1048576,10,FALSE)</f>
        <v>0</v>
      </c>
      <c r="AF43">
        <f>VLOOKUP(C43,'Security Command Center'!$1:$1048576,10,FALSE)</f>
        <v>0</v>
      </c>
      <c r="AG43">
        <f>VLOOKUP(C43,'Security Operations'!$1:$1048576,10,FALSE)</f>
        <v>0</v>
      </c>
      <c r="AH43">
        <f>VLOOKUP(C43,'Google Threat Intelligence'!$1:$1048576,10,FALSE)</f>
        <v>0</v>
      </c>
      <c r="AI43">
        <f>VLOOKUP(C43,'Vertex AI Platform'!$1:$1048576,10,FALSE)</f>
        <v>23</v>
      </c>
      <c r="AJ43">
        <f>VLOOKUP(C43,'AI Applications'!$1:$1048576,10,FALSE)</f>
        <v>0</v>
      </c>
      <c r="AK43">
        <f>VLOOKUP(C43,'Gemini Enterprise'!$1:$1048576,10,FALSE)</f>
        <v>0</v>
      </c>
      <c r="AL43">
        <f>VLOOKUP(C43,'Customer Engagement Suite'!$1:$1048576,10,FALSE)</f>
        <v>0</v>
      </c>
      <c r="AM43">
        <f t="shared" si="0"/>
        <v>75</v>
      </c>
    </row>
    <row r="44" spans="1:39">
      <c r="A44" s="5" t="s">
        <v>214</v>
      </c>
      <c r="B44" s="5" t="s">
        <v>99</v>
      </c>
      <c r="C44" s="6" t="s">
        <v>27</v>
      </c>
      <c r="D44" s="7" t="s">
        <v>115</v>
      </c>
      <c r="E44" s="7" t="s">
        <v>116</v>
      </c>
      <c r="F44" s="7" t="s">
        <v>215</v>
      </c>
      <c r="G44" s="5" t="s">
        <v>102</v>
      </c>
      <c r="H44" s="5" t="s">
        <v>157</v>
      </c>
      <c r="I44" s="7" t="s">
        <v>78</v>
      </c>
      <c r="J44" s="7" t="s">
        <v>79</v>
      </c>
      <c r="K44" s="7" t="s">
        <v>127</v>
      </c>
      <c r="L44" s="6" t="s">
        <v>111</v>
      </c>
      <c r="M44" s="10"/>
      <c r="N44">
        <f>VLOOKUP(C44,BigQuery!$1:$1048576,10,FALSE)</f>
        <v>5</v>
      </c>
      <c r="O44">
        <f>VLOOKUP(C44,Looker!$1:$1048576,10,FALSE)</f>
        <v>5</v>
      </c>
      <c r="P44">
        <f>VLOOKUP(C44,Dataflow!$1:$1048576,10,FALSE)</f>
        <v>0</v>
      </c>
      <c r="Q44">
        <f>VLOOKUP(C44,Dataproc!$1:$1048576,10,FALSE)</f>
        <v>0</v>
      </c>
      <c r="R44">
        <f>VLOOKUP(C44,'Google Kubernetes Engine'!$1:$1048576,10,FALSE)</f>
        <v>0</v>
      </c>
      <c r="S44">
        <f>VLOOKUP(C44,'Apigee API Management'!$1:$1048576,10,FALSE)</f>
        <v>0</v>
      </c>
      <c r="T44">
        <f>VLOOKUP(C44,'Cloud Run'!$1:$1048576,10,FALSE)</f>
        <v>0</v>
      </c>
      <c r="U44">
        <f>VLOOKUP(C44,Workspace!$1:$1048576,10,FALSE)</f>
        <v>0</v>
      </c>
      <c r="V44">
        <f>VLOOKUP(C44,'Cloud SQL'!$1:$1048576,10,FALSE)</f>
        <v>0</v>
      </c>
      <c r="W44">
        <f>VLOOKUP(C44,'AlloyDB for PostgreSQL'!$1:$1048576,10,FALSE)</f>
        <v>0</v>
      </c>
      <c r="X44">
        <f>VLOOKUP(C44,Spanner!$1:$1048576,10,FALSE)</f>
        <v>0</v>
      </c>
      <c r="Y44">
        <f>VLOOKUP(C44,Oracle!$1:$1048576,10,FALSE)</f>
        <v>0</v>
      </c>
      <c r="Z44">
        <f>VLOOKUP(C44,'Google Compute Engine'!$1:$1048576,10,FALSE)</f>
        <v>0</v>
      </c>
      <c r="AA44">
        <f>VLOOKUP(C44,'Google Cloud Networking'!$1:$1048576,10,FALSE)</f>
        <v>0</v>
      </c>
      <c r="AB44">
        <f>VLOOKUP(C44,'SAP on Google Cloud'!$1:$1048576,10,FALSE)</f>
        <v>0</v>
      </c>
      <c r="AC44">
        <f>VLOOKUP(C44,'Google Cloud VMware Engine'!$1:$1048576,10,FALSE)</f>
        <v>0</v>
      </c>
      <c r="AD44">
        <f>VLOOKUP(C44,'Google Distributed Cloud'!$1:$1048576,10,FALSE)</f>
        <v>0</v>
      </c>
      <c r="AE44">
        <f>VLOOKUP(C44,'Cloud Security'!$1:$1048576,10,FALSE)</f>
        <v>0</v>
      </c>
      <c r="AF44">
        <f>VLOOKUP(C44,'Security Command Center'!$1:$1048576,10,FALSE)</f>
        <v>0</v>
      </c>
      <c r="AG44">
        <f>VLOOKUP(C44,'Security Operations'!$1:$1048576,10,FALSE)</f>
        <v>0</v>
      </c>
      <c r="AH44">
        <f>VLOOKUP(C44,'Google Threat Intelligence'!$1:$1048576,10,FALSE)</f>
        <v>0</v>
      </c>
      <c r="AI44">
        <f>VLOOKUP(C44,'Vertex AI Platform'!$1:$1048576,10,FALSE)</f>
        <v>0</v>
      </c>
      <c r="AJ44">
        <f>VLOOKUP(C44,'AI Applications'!$1:$1048576,10,FALSE)</f>
        <v>0</v>
      </c>
      <c r="AK44">
        <f>VLOOKUP(C44,'Gemini Enterprise'!$1:$1048576,10,FALSE)</f>
        <v>0</v>
      </c>
      <c r="AL44">
        <f>VLOOKUP(C44,'Customer Engagement Suite'!$1:$1048576,10,FALSE)</f>
        <v>0</v>
      </c>
      <c r="AM44">
        <f t="shared" si="0"/>
        <v>10</v>
      </c>
    </row>
    <row r="45" spans="1:39">
      <c r="A45" s="5" t="s">
        <v>216</v>
      </c>
      <c r="B45" s="5" t="s">
        <v>71</v>
      </c>
      <c r="C45" s="6" t="s">
        <v>217</v>
      </c>
      <c r="D45" s="7" t="s">
        <v>105</v>
      </c>
      <c r="E45" s="7" t="s">
        <v>106</v>
      </c>
      <c r="F45" s="7" t="s">
        <v>75</v>
      </c>
      <c r="G45" s="5" t="s">
        <v>76</v>
      </c>
      <c r="H45" s="5" t="s">
        <v>77</v>
      </c>
      <c r="I45" s="7" t="s">
        <v>78</v>
      </c>
      <c r="J45" s="7" t="s">
        <v>95</v>
      </c>
      <c r="K45" s="7" t="s">
        <v>80</v>
      </c>
      <c r="L45" s="8" t="s">
        <v>218</v>
      </c>
      <c r="M45" s="9"/>
      <c r="N45">
        <f>VLOOKUP(C45,BigQuery!$1:$1048576,10,FALSE)</f>
        <v>0</v>
      </c>
      <c r="O45">
        <f>VLOOKUP(C45,Looker!$1:$1048576,10,FALSE)</f>
        <v>0</v>
      </c>
      <c r="P45">
        <f>VLOOKUP(C45,Dataflow!$1:$1048576,10,FALSE)</f>
        <v>0</v>
      </c>
      <c r="Q45">
        <f>VLOOKUP(C45,Dataproc!$1:$1048576,10,FALSE)</f>
        <v>0</v>
      </c>
      <c r="R45">
        <f>VLOOKUP(C45,'Google Kubernetes Engine'!$1:$1048576,10,FALSE)</f>
        <v>0</v>
      </c>
      <c r="S45">
        <f>VLOOKUP(C45,'Apigee API Management'!$1:$1048576,10,FALSE)</f>
        <v>0</v>
      </c>
      <c r="T45">
        <f>VLOOKUP(C45,'Cloud Run'!$1:$1048576,10,FALSE)</f>
        <v>0</v>
      </c>
      <c r="U45">
        <f>VLOOKUP(C45,Workspace!$1:$1048576,10,FALSE)</f>
        <v>0</v>
      </c>
      <c r="V45">
        <f>VLOOKUP(C45,'Cloud SQL'!$1:$1048576,10,FALSE)</f>
        <v>0</v>
      </c>
      <c r="W45">
        <f>VLOOKUP(C45,'AlloyDB for PostgreSQL'!$1:$1048576,10,FALSE)</f>
        <v>0</v>
      </c>
      <c r="X45">
        <f>VLOOKUP(C45,Spanner!$1:$1048576,10,FALSE)</f>
        <v>0</v>
      </c>
      <c r="Y45">
        <f>VLOOKUP(C45,Oracle!$1:$1048576,10,FALSE)</f>
        <v>0</v>
      </c>
      <c r="Z45">
        <f>VLOOKUP(C45,'Google Compute Engine'!$1:$1048576,10,FALSE)</f>
        <v>0</v>
      </c>
      <c r="AA45">
        <f>VLOOKUP(C45,'Google Cloud Networking'!$1:$1048576,10,FALSE)</f>
        <v>0</v>
      </c>
      <c r="AB45">
        <f>VLOOKUP(C45,'SAP on Google Cloud'!$1:$1048576,10,FALSE)</f>
        <v>0</v>
      </c>
      <c r="AC45">
        <f>VLOOKUP(C45,'Google Cloud VMware Engine'!$1:$1048576,10,FALSE)</f>
        <v>0</v>
      </c>
      <c r="AD45">
        <f>VLOOKUP(C45,'Google Distributed Cloud'!$1:$1048576,10,FALSE)</f>
        <v>0</v>
      </c>
      <c r="AE45">
        <f>VLOOKUP(C45,'Cloud Security'!$1:$1048576,10,FALSE)</f>
        <v>0</v>
      </c>
      <c r="AF45">
        <f>VLOOKUP(C45,'Security Command Center'!$1:$1048576,10,FALSE)</f>
        <v>0</v>
      </c>
      <c r="AG45">
        <f>VLOOKUP(C45,'Security Operations'!$1:$1048576,10,FALSE)</f>
        <v>0</v>
      </c>
      <c r="AH45">
        <f>VLOOKUP(C45,'Google Threat Intelligence'!$1:$1048576,10,FALSE)</f>
        <v>0</v>
      </c>
      <c r="AI45">
        <f>VLOOKUP(C45,'Vertex AI Platform'!$1:$1048576,10,FALSE)</f>
        <v>0</v>
      </c>
      <c r="AJ45">
        <f>VLOOKUP(C45,'AI Applications'!$1:$1048576,10,FALSE)</f>
        <v>0</v>
      </c>
      <c r="AK45">
        <f>VLOOKUP(C45,'Gemini Enterprise'!$1:$1048576,10,FALSE)</f>
        <v>0</v>
      </c>
      <c r="AL45">
        <f>VLOOKUP(C45,'Customer Engagement Suite'!$1:$1048576,10,FALSE)</f>
        <v>0</v>
      </c>
      <c r="AM45">
        <f t="shared" si="0"/>
        <v>0</v>
      </c>
    </row>
    <row r="46" spans="1:39">
      <c r="A46" s="5" t="s">
        <v>219</v>
      </c>
      <c r="B46" s="5" t="s">
        <v>89</v>
      </c>
      <c r="C46" s="11" t="s">
        <v>220</v>
      </c>
      <c r="D46" s="7" t="s">
        <v>91</v>
      </c>
      <c r="E46" s="7" t="s">
        <v>92</v>
      </c>
      <c r="F46" s="7" t="s">
        <v>93</v>
      </c>
      <c r="G46" s="5" t="s">
        <v>76</v>
      </c>
      <c r="H46" s="5" t="s">
        <v>94</v>
      </c>
      <c r="I46" s="7" t="s">
        <v>78</v>
      </c>
      <c r="J46" s="7" t="s">
        <v>95</v>
      </c>
      <c r="K46" s="7" t="s">
        <v>96</v>
      </c>
      <c r="L46" s="6" t="s">
        <v>97</v>
      </c>
      <c r="M46" s="10"/>
      <c r="N46" t="e">
        <f>VLOOKUP(C46,BigQuery!$1:$1048576,10,FALSE)</f>
        <v>#N/A</v>
      </c>
      <c r="O46" t="e">
        <f>VLOOKUP(C46,Looker!$1:$1048576,10,FALSE)</f>
        <v>#N/A</v>
      </c>
      <c r="P46" t="e">
        <f>VLOOKUP(C46,Dataflow!$1:$1048576,10,FALSE)</f>
        <v>#N/A</v>
      </c>
      <c r="Q46" t="e">
        <f>VLOOKUP(C46,Dataproc!$1:$1048576,10,FALSE)</f>
        <v>#N/A</v>
      </c>
      <c r="R46" t="e">
        <f>VLOOKUP(C46,'Google Kubernetes Engine'!$1:$1048576,10,FALSE)</f>
        <v>#N/A</v>
      </c>
      <c r="S46" t="e">
        <f>VLOOKUP(C46,'Apigee API Management'!$1:$1048576,10,FALSE)</f>
        <v>#N/A</v>
      </c>
      <c r="T46" t="e">
        <f>VLOOKUP(C46,'Cloud Run'!$1:$1048576,10,FALSE)</f>
        <v>#N/A</v>
      </c>
      <c r="U46" t="e">
        <f>VLOOKUP(C46,Workspace!$1:$1048576,10,FALSE)</f>
        <v>#N/A</v>
      </c>
      <c r="V46" t="e">
        <f>VLOOKUP(C46,'Cloud SQL'!$1:$1048576,10,FALSE)</f>
        <v>#N/A</v>
      </c>
      <c r="W46" t="e">
        <f>VLOOKUP(C46,'AlloyDB for PostgreSQL'!$1:$1048576,10,FALSE)</f>
        <v>#N/A</v>
      </c>
      <c r="X46" t="e">
        <f>VLOOKUP(C46,Spanner!$1:$1048576,10,FALSE)</f>
        <v>#N/A</v>
      </c>
      <c r="Y46" t="e">
        <f>VLOOKUP(C46,Oracle!$1:$1048576,10,FALSE)</f>
        <v>#N/A</v>
      </c>
      <c r="Z46" t="e">
        <f>VLOOKUP(C46,'Google Compute Engine'!$1:$1048576,10,FALSE)</f>
        <v>#N/A</v>
      </c>
      <c r="AA46" t="e">
        <f>VLOOKUP(C46,'Google Cloud Networking'!$1:$1048576,10,FALSE)</f>
        <v>#N/A</v>
      </c>
      <c r="AB46" t="e">
        <f>VLOOKUP(C46,'SAP on Google Cloud'!$1:$1048576,10,FALSE)</f>
        <v>#N/A</v>
      </c>
      <c r="AC46" t="e">
        <f>VLOOKUP(C46,'Google Cloud VMware Engine'!$1:$1048576,10,FALSE)</f>
        <v>#N/A</v>
      </c>
      <c r="AD46" t="e">
        <f>VLOOKUP(C46,'Google Distributed Cloud'!$1:$1048576,10,FALSE)</f>
        <v>#N/A</v>
      </c>
      <c r="AE46" t="e">
        <f>VLOOKUP(C46,'Cloud Security'!$1:$1048576,10,FALSE)</f>
        <v>#N/A</v>
      </c>
      <c r="AF46" t="e">
        <f>VLOOKUP(C46,'Security Command Center'!$1:$1048576,10,FALSE)</f>
        <v>#N/A</v>
      </c>
      <c r="AG46" t="e">
        <f>VLOOKUP(C46,'Security Operations'!$1:$1048576,10,FALSE)</f>
        <v>#N/A</v>
      </c>
      <c r="AH46" t="e">
        <f>VLOOKUP(C46,'Google Threat Intelligence'!$1:$1048576,10,FALSE)</f>
        <v>#N/A</v>
      </c>
      <c r="AI46" t="e">
        <f>VLOOKUP(C46,'Vertex AI Platform'!$1:$1048576,10,FALSE)</f>
        <v>#N/A</v>
      </c>
      <c r="AJ46" t="e">
        <f>VLOOKUP(C46,'AI Applications'!$1:$1048576,10,FALSE)</f>
        <v>#N/A</v>
      </c>
      <c r="AK46" t="e">
        <f>VLOOKUP(C46,'Gemini Enterprise'!$1:$1048576,10,FALSE)</f>
        <v>#N/A</v>
      </c>
      <c r="AL46" t="e">
        <f>VLOOKUP(C46,'Customer Engagement Suite'!$1:$1048576,10,FALSE)</f>
        <v>#N/A</v>
      </c>
      <c r="AM46" t="e">
        <f t="shared" si="0"/>
        <v>#N/A</v>
      </c>
    </row>
    <row r="47" spans="1:39">
      <c r="A47" s="5" t="s">
        <v>221</v>
      </c>
      <c r="B47" s="5" t="s">
        <v>99</v>
      </c>
      <c r="C47" s="6" t="s">
        <v>22</v>
      </c>
      <c r="D47" s="7" t="s">
        <v>82</v>
      </c>
      <c r="E47" s="7" t="s">
        <v>83</v>
      </c>
      <c r="F47" s="7" t="s">
        <v>75</v>
      </c>
      <c r="G47" s="5" t="s">
        <v>102</v>
      </c>
      <c r="H47" s="5" t="s">
        <v>213</v>
      </c>
      <c r="I47" s="7" t="s">
        <v>78</v>
      </c>
      <c r="J47" s="7" t="s">
        <v>206</v>
      </c>
      <c r="K47" s="7" t="s">
        <v>80</v>
      </c>
      <c r="L47" s="6" t="s">
        <v>218</v>
      </c>
      <c r="M47" s="10"/>
      <c r="N47">
        <f>VLOOKUP(C47,BigQuery!$1:$1048576,10,FALSE)</f>
        <v>5</v>
      </c>
      <c r="O47">
        <f>VLOOKUP(C47,Looker!$1:$1048576,10,FALSE)</f>
        <v>0</v>
      </c>
      <c r="P47">
        <f>VLOOKUP(C47,Dataflow!$1:$1048576,10,FALSE)</f>
        <v>10</v>
      </c>
      <c r="Q47">
        <f>VLOOKUP(C47,Dataproc!$1:$1048576,10,FALSE)</f>
        <v>0</v>
      </c>
      <c r="R47">
        <f>VLOOKUP(C47,'Google Kubernetes Engine'!$1:$1048576,10,FALSE)</f>
        <v>0</v>
      </c>
      <c r="S47">
        <f>VLOOKUP(C47,'Apigee API Management'!$1:$1048576,10,FALSE)</f>
        <v>0</v>
      </c>
      <c r="T47">
        <f>VLOOKUP(C47,'Cloud Run'!$1:$1048576,10,FALSE)</f>
        <v>0</v>
      </c>
      <c r="U47">
        <f>VLOOKUP(C47,Workspace!$1:$1048576,10,FALSE)</f>
        <v>0</v>
      </c>
      <c r="V47">
        <f>VLOOKUP(C47,'Cloud SQL'!$1:$1048576,10,FALSE)</f>
        <v>0</v>
      </c>
      <c r="W47">
        <f>VLOOKUP(C47,'AlloyDB for PostgreSQL'!$1:$1048576,10,FALSE)</f>
        <v>0</v>
      </c>
      <c r="X47">
        <f>VLOOKUP(C47,Spanner!$1:$1048576,10,FALSE)</f>
        <v>0</v>
      </c>
      <c r="Y47">
        <f>VLOOKUP(C47,Oracle!$1:$1048576,10,FALSE)</f>
        <v>0</v>
      </c>
      <c r="Z47">
        <f>VLOOKUP(C47,'Google Compute Engine'!$1:$1048576,10,FALSE)</f>
        <v>0</v>
      </c>
      <c r="AA47">
        <f>VLOOKUP(C47,'Google Cloud Networking'!$1:$1048576,10,FALSE)</f>
        <v>0</v>
      </c>
      <c r="AB47">
        <f>VLOOKUP(C47,'SAP on Google Cloud'!$1:$1048576,10,FALSE)</f>
        <v>0</v>
      </c>
      <c r="AC47">
        <f>VLOOKUP(C47,'Google Cloud VMware Engine'!$1:$1048576,10,FALSE)</f>
        <v>0</v>
      </c>
      <c r="AD47">
        <f>VLOOKUP(C47,'Google Distributed Cloud'!$1:$1048576,10,FALSE)</f>
        <v>0</v>
      </c>
      <c r="AE47">
        <f>VLOOKUP(C47,'Cloud Security'!$1:$1048576,10,FALSE)</f>
        <v>0</v>
      </c>
      <c r="AF47">
        <f>VLOOKUP(C47,'Security Command Center'!$1:$1048576,10,FALSE)</f>
        <v>0</v>
      </c>
      <c r="AG47">
        <f>VLOOKUP(C47,'Security Operations'!$1:$1048576,10,FALSE)</f>
        <v>0</v>
      </c>
      <c r="AH47">
        <f>VLOOKUP(C47,'Google Threat Intelligence'!$1:$1048576,10,FALSE)</f>
        <v>0</v>
      </c>
      <c r="AI47">
        <f>VLOOKUP(C47,'Vertex AI Platform'!$1:$1048576,10,FALSE)</f>
        <v>10</v>
      </c>
      <c r="AJ47">
        <f>VLOOKUP(C47,'AI Applications'!$1:$1048576,10,FALSE)</f>
        <v>0</v>
      </c>
      <c r="AK47">
        <f>VLOOKUP(C47,'Gemini Enterprise'!$1:$1048576,10,FALSE)</f>
        <v>0</v>
      </c>
      <c r="AL47">
        <f>VLOOKUP(C47,'Customer Engagement Suite'!$1:$1048576,10,FALSE)</f>
        <v>0</v>
      </c>
      <c r="AM47">
        <f t="shared" si="0"/>
        <v>25</v>
      </c>
    </row>
    <row r="48" spans="1:39">
      <c r="A48" s="5" t="s">
        <v>222</v>
      </c>
      <c r="B48" s="5" t="s">
        <v>99</v>
      </c>
      <c r="C48" s="6" t="s">
        <v>223</v>
      </c>
      <c r="D48" s="7" t="s">
        <v>131</v>
      </c>
      <c r="E48" s="7" t="s">
        <v>132</v>
      </c>
      <c r="F48" s="7" t="s">
        <v>142</v>
      </c>
      <c r="G48" s="5" t="s">
        <v>102</v>
      </c>
      <c r="H48" s="5" t="s">
        <v>213</v>
      </c>
      <c r="I48" s="7" t="s">
        <v>78</v>
      </c>
      <c r="J48" s="7" t="s">
        <v>79</v>
      </c>
      <c r="K48" s="7" t="s">
        <v>80</v>
      </c>
      <c r="L48" s="6" t="s">
        <v>218</v>
      </c>
      <c r="M48" s="10"/>
      <c r="N48">
        <f>VLOOKUP(C48,BigQuery!$1:$1048576,10,FALSE)</f>
        <v>0</v>
      </c>
      <c r="O48">
        <f>VLOOKUP(C48,Looker!$1:$1048576,10,FALSE)</f>
        <v>0</v>
      </c>
      <c r="P48">
        <f>VLOOKUP(C48,Dataflow!$1:$1048576,10,FALSE)</f>
        <v>0</v>
      </c>
      <c r="Q48">
        <f>VLOOKUP(C48,Dataproc!$1:$1048576,10,FALSE)</f>
        <v>0</v>
      </c>
      <c r="R48">
        <f>VLOOKUP(C48,'Google Kubernetes Engine'!$1:$1048576,10,FALSE)</f>
        <v>0</v>
      </c>
      <c r="S48">
        <f>VLOOKUP(C48,'Apigee API Management'!$1:$1048576,10,FALSE)</f>
        <v>0</v>
      </c>
      <c r="T48">
        <f>VLOOKUP(C48,'Cloud Run'!$1:$1048576,10,FALSE)</f>
        <v>0</v>
      </c>
      <c r="U48">
        <f>VLOOKUP(C48,Workspace!$1:$1048576,10,FALSE)</f>
        <v>0</v>
      </c>
      <c r="V48">
        <f>VLOOKUP(C48,'Cloud SQL'!$1:$1048576,10,FALSE)</f>
        <v>0</v>
      </c>
      <c r="W48">
        <f>VLOOKUP(C48,'AlloyDB for PostgreSQL'!$1:$1048576,10,FALSE)</f>
        <v>0</v>
      </c>
      <c r="X48">
        <f>VLOOKUP(C48,Spanner!$1:$1048576,10,FALSE)</f>
        <v>0</v>
      </c>
      <c r="Y48">
        <f>VLOOKUP(C48,Oracle!$1:$1048576,10,FALSE)</f>
        <v>0</v>
      </c>
      <c r="Z48">
        <f>VLOOKUP(C48,'Google Compute Engine'!$1:$1048576,10,FALSE)</f>
        <v>0</v>
      </c>
      <c r="AA48">
        <f>VLOOKUP(C48,'Google Cloud Networking'!$1:$1048576,10,FALSE)</f>
        <v>0</v>
      </c>
      <c r="AB48">
        <f>VLOOKUP(C48,'SAP on Google Cloud'!$1:$1048576,10,FALSE)</f>
        <v>0</v>
      </c>
      <c r="AC48">
        <f>VLOOKUP(C48,'Google Cloud VMware Engine'!$1:$1048576,10,FALSE)</f>
        <v>0</v>
      </c>
      <c r="AD48">
        <f>VLOOKUP(C48,'Google Distributed Cloud'!$1:$1048576,10,FALSE)</f>
        <v>0</v>
      </c>
      <c r="AE48">
        <f>VLOOKUP(C48,'Cloud Security'!$1:$1048576,10,FALSE)</f>
        <v>0</v>
      </c>
      <c r="AF48">
        <f>VLOOKUP(C48,'Security Command Center'!$1:$1048576,10,FALSE)</f>
        <v>0</v>
      </c>
      <c r="AG48">
        <f>VLOOKUP(C48,'Security Operations'!$1:$1048576,10,FALSE)</f>
        <v>0</v>
      </c>
      <c r="AH48">
        <f>VLOOKUP(C48,'Google Threat Intelligence'!$1:$1048576,10,FALSE)</f>
        <v>0</v>
      </c>
      <c r="AI48">
        <f>VLOOKUP(C48,'Vertex AI Platform'!$1:$1048576,10,FALSE)</f>
        <v>0</v>
      </c>
      <c r="AJ48">
        <f>VLOOKUP(C48,'AI Applications'!$1:$1048576,10,FALSE)</f>
        <v>0</v>
      </c>
      <c r="AK48">
        <f>VLOOKUP(C48,'Gemini Enterprise'!$1:$1048576,10,FALSE)</f>
        <v>0</v>
      </c>
      <c r="AL48">
        <f>VLOOKUP(C48,'Customer Engagement Suite'!$1:$1048576,10,FALSE)</f>
        <v>0</v>
      </c>
      <c r="AM48">
        <f t="shared" si="0"/>
        <v>0</v>
      </c>
    </row>
    <row r="49" spans="1:39">
      <c r="A49" s="5" t="s">
        <v>224</v>
      </c>
      <c r="B49" s="5" t="s">
        <v>99</v>
      </c>
      <c r="C49" s="6" t="s">
        <v>225</v>
      </c>
      <c r="D49" s="7" t="s">
        <v>73</v>
      </c>
      <c r="E49" s="7" t="s">
        <v>74</v>
      </c>
      <c r="F49" s="7" t="s">
        <v>142</v>
      </c>
      <c r="G49" s="5" t="s">
        <v>102</v>
      </c>
      <c r="H49" s="5" t="s">
        <v>103</v>
      </c>
      <c r="I49" s="7" t="s">
        <v>78</v>
      </c>
      <c r="J49" s="7" t="s">
        <v>79</v>
      </c>
      <c r="K49" s="7" t="s">
        <v>87</v>
      </c>
      <c r="L49" s="6" t="s">
        <v>6</v>
      </c>
      <c r="M49" s="10"/>
      <c r="N49">
        <f>VLOOKUP(C49,BigQuery!$1:$1048576,10,FALSE)</f>
        <v>0</v>
      </c>
      <c r="O49">
        <f>VLOOKUP(C49,Looker!$1:$1048576,10,FALSE)</f>
        <v>0</v>
      </c>
      <c r="P49">
        <f>VLOOKUP(C49,Dataflow!$1:$1048576,10,FALSE)</f>
        <v>0</v>
      </c>
      <c r="Q49">
        <f>VLOOKUP(C49,Dataproc!$1:$1048576,10,FALSE)</f>
        <v>0</v>
      </c>
      <c r="R49">
        <f>VLOOKUP(C49,'Google Kubernetes Engine'!$1:$1048576,10,FALSE)</f>
        <v>0</v>
      </c>
      <c r="S49">
        <f>VLOOKUP(C49,'Apigee API Management'!$1:$1048576,10,FALSE)</f>
        <v>0</v>
      </c>
      <c r="T49">
        <f>VLOOKUP(C49,'Cloud Run'!$1:$1048576,10,FALSE)</f>
        <v>0</v>
      </c>
      <c r="U49">
        <f>VLOOKUP(C49,Workspace!$1:$1048576,10,FALSE)</f>
        <v>0</v>
      </c>
      <c r="V49">
        <f>VLOOKUP(C49,'Cloud SQL'!$1:$1048576,10,FALSE)</f>
        <v>0</v>
      </c>
      <c r="W49">
        <f>VLOOKUP(C49,'AlloyDB for PostgreSQL'!$1:$1048576,10,FALSE)</f>
        <v>0</v>
      </c>
      <c r="X49">
        <f>VLOOKUP(C49,Spanner!$1:$1048576,10,FALSE)</f>
        <v>0</v>
      </c>
      <c r="Y49">
        <f>VLOOKUP(C49,Oracle!$1:$1048576,10,FALSE)</f>
        <v>0</v>
      </c>
      <c r="Z49">
        <f>VLOOKUP(C49,'Google Compute Engine'!$1:$1048576,10,FALSE)</f>
        <v>0</v>
      </c>
      <c r="AA49">
        <f>VLOOKUP(C49,'Google Cloud Networking'!$1:$1048576,10,FALSE)</f>
        <v>0</v>
      </c>
      <c r="AB49">
        <f>VLOOKUP(C49,'SAP on Google Cloud'!$1:$1048576,10,FALSE)</f>
        <v>0</v>
      </c>
      <c r="AC49">
        <f>VLOOKUP(C49,'Google Cloud VMware Engine'!$1:$1048576,10,FALSE)</f>
        <v>0</v>
      </c>
      <c r="AD49">
        <f>VLOOKUP(C49,'Google Distributed Cloud'!$1:$1048576,10,FALSE)</f>
        <v>0</v>
      </c>
      <c r="AE49">
        <f>VLOOKUP(C49,'Cloud Security'!$1:$1048576,10,FALSE)</f>
        <v>0</v>
      </c>
      <c r="AF49">
        <f>VLOOKUP(C49,'Security Command Center'!$1:$1048576,10,FALSE)</f>
        <v>0</v>
      </c>
      <c r="AG49">
        <f>VLOOKUP(C49,'Security Operations'!$1:$1048576,10,FALSE)</f>
        <v>0</v>
      </c>
      <c r="AH49">
        <f>VLOOKUP(C49,'Google Threat Intelligence'!$1:$1048576,10,FALSE)</f>
        <v>0</v>
      </c>
      <c r="AI49">
        <f>VLOOKUP(C49,'Vertex AI Platform'!$1:$1048576,10,FALSE)</f>
        <v>0</v>
      </c>
      <c r="AJ49">
        <f>VLOOKUP(C49,'AI Applications'!$1:$1048576,10,FALSE)</f>
        <v>0</v>
      </c>
      <c r="AK49">
        <f>VLOOKUP(C49,'Gemini Enterprise'!$1:$1048576,10,FALSE)</f>
        <v>0</v>
      </c>
      <c r="AL49" t="e">
        <f>VLOOKUP(C49,'Customer Engagement Suite'!$1:$1048576,10,FALSE)</f>
        <v>#N/A</v>
      </c>
      <c r="AM49" t="e">
        <f t="shared" si="0"/>
        <v>#N/A</v>
      </c>
    </row>
    <row r="50" spans="1:39">
      <c r="A50" s="5" t="s">
        <v>226</v>
      </c>
      <c r="B50" s="5" t="s">
        <v>99</v>
      </c>
      <c r="C50" s="12" t="s">
        <v>227</v>
      </c>
      <c r="D50" s="7" t="s">
        <v>105</v>
      </c>
      <c r="E50" s="7" t="s">
        <v>106</v>
      </c>
      <c r="F50" s="7" t="s">
        <v>107</v>
      </c>
      <c r="G50" s="5" t="s">
        <v>102</v>
      </c>
      <c r="H50" s="5" t="s">
        <v>108</v>
      </c>
      <c r="I50" s="7" t="s">
        <v>78</v>
      </c>
      <c r="J50" s="7" t="s">
        <v>154</v>
      </c>
      <c r="K50" s="7" t="s">
        <v>110</v>
      </c>
      <c r="L50" s="6" t="s">
        <v>111</v>
      </c>
      <c r="M50" s="10" t="s">
        <v>228</v>
      </c>
      <c r="N50" t="e">
        <f>VLOOKUP(C50,BigQuery!$1:$1048576,10,FALSE)</f>
        <v>#N/A</v>
      </c>
      <c r="O50" t="e">
        <f>VLOOKUP(C50,Looker!$1:$1048576,10,FALSE)</f>
        <v>#N/A</v>
      </c>
      <c r="P50" t="e">
        <f>VLOOKUP(C50,Dataflow!$1:$1048576,10,FALSE)</f>
        <v>#N/A</v>
      </c>
      <c r="Q50" t="e">
        <f>VLOOKUP(C50,Dataproc!$1:$1048576,10,FALSE)</f>
        <v>#N/A</v>
      </c>
      <c r="R50" t="e">
        <f>VLOOKUP(C50,'Google Kubernetes Engine'!$1:$1048576,10,FALSE)</f>
        <v>#N/A</v>
      </c>
      <c r="S50" t="e">
        <f>VLOOKUP(C50,'Apigee API Management'!$1:$1048576,10,FALSE)</f>
        <v>#N/A</v>
      </c>
      <c r="T50" t="e">
        <f>VLOOKUP(C50,'Cloud Run'!$1:$1048576,10,FALSE)</f>
        <v>#N/A</v>
      </c>
      <c r="U50" t="e">
        <f>VLOOKUP(C50,Workspace!$1:$1048576,10,FALSE)</f>
        <v>#N/A</v>
      </c>
      <c r="V50" t="e">
        <f>VLOOKUP(C50,'Cloud SQL'!$1:$1048576,10,FALSE)</f>
        <v>#N/A</v>
      </c>
      <c r="W50" t="e">
        <f>VLOOKUP(C50,'AlloyDB for PostgreSQL'!$1:$1048576,10,FALSE)</f>
        <v>#N/A</v>
      </c>
      <c r="X50" t="e">
        <f>VLOOKUP(C50,Spanner!$1:$1048576,10,FALSE)</f>
        <v>#N/A</v>
      </c>
      <c r="Y50" t="e">
        <f>VLOOKUP(C50,Oracle!$1:$1048576,10,FALSE)</f>
        <v>#N/A</v>
      </c>
      <c r="Z50" t="e">
        <f>VLOOKUP(C50,'Google Compute Engine'!$1:$1048576,10,FALSE)</f>
        <v>#N/A</v>
      </c>
      <c r="AA50" t="e">
        <f>VLOOKUP(C50,'Google Cloud Networking'!$1:$1048576,10,FALSE)</f>
        <v>#N/A</v>
      </c>
      <c r="AB50" t="e">
        <f>VLOOKUP(C50,'SAP on Google Cloud'!$1:$1048576,10,FALSE)</f>
        <v>#N/A</v>
      </c>
      <c r="AC50" t="e">
        <f>VLOOKUP(C50,'Google Cloud VMware Engine'!$1:$1048576,10,FALSE)</f>
        <v>#N/A</v>
      </c>
      <c r="AD50" t="e">
        <f>VLOOKUP(C50,'Google Distributed Cloud'!$1:$1048576,10,FALSE)</f>
        <v>#N/A</v>
      </c>
      <c r="AE50" t="e">
        <f>VLOOKUP(C50,'Cloud Security'!$1:$1048576,10,FALSE)</f>
        <v>#N/A</v>
      </c>
      <c r="AF50" t="e">
        <f>VLOOKUP(C50,'Security Command Center'!$1:$1048576,10,FALSE)</f>
        <v>#N/A</v>
      </c>
      <c r="AG50" t="e">
        <f>VLOOKUP(C50,'Security Operations'!$1:$1048576,10,FALSE)</f>
        <v>#N/A</v>
      </c>
      <c r="AH50" t="e">
        <f>VLOOKUP(C50,'Google Threat Intelligence'!$1:$1048576,10,FALSE)</f>
        <v>#N/A</v>
      </c>
      <c r="AI50" t="e">
        <f>VLOOKUP(C50,'Vertex AI Platform'!$1:$1048576,10,FALSE)</f>
        <v>#N/A</v>
      </c>
      <c r="AJ50" t="e">
        <f>VLOOKUP(C50,'AI Applications'!$1:$1048576,10,FALSE)</f>
        <v>#N/A</v>
      </c>
      <c r="AK50" t="e">
        <f>VLOOKUP(C50,'Gemini Enterprise'!$1:$1048576,10,FALSE)</f>
        <v>#N/A</v>
      </c>
      <c r="AL50" t="e">
        <f>VLOOKUP(C50,'Customer Engagement Suite'!$1:$1048576,10,FALSE)</f>
        <v>#N/A</v>
      </c>
      <c r="AM50" t="e">
        <f t="shared" si="0"/>
        <v>#N/A</v>
      </c>
    </row>
    <row r="51" spans="1:39">
      <c r="A51" s="5" t="s">
        <v>229</v>
      </c>
      <c r="B51" s="5" t="s">
        <v>99</v>
      </c>
      <c r="C51" s="6" t="s">
        <v>18</v>
      </c>
      <c r="D51" s="7" t="s">
        <v>105</v>
      </c>
      <c r="E51" s="7" t="s">
        <v>106</v>
      </c>
      <c r="F51" s="7" t="s">
        <v>125</v>
      </c>
      <c r="G51" s="5" t="s">
        <v>102</v>
      </c>
      <c r="H51" s="5" t="s">
        <v>157</v>
      </c>
      <c r="I51" s="7" t="s">
        <v>78</v>
      </c>
      <c r="J51" s="7" t="s">
        <v>79</v>
      </c>
      <c r="K51" s="7" t="s">
        <v>127</v>
      </c>
      <c r="L51" s="6" t="s">
        <v>111</v>
      </c>
      <c r="M51" s="10"/>
      <c r="N51">
        <f>VLOOKUP(C51,BigQuery!$1:$1048576,10,FALSE)</f>
        <v>10</v>
      </c>
      <c r="O51">
        <f>VLOOKUP(C51,Looker!$1:$1048576,10,FALSE)</f>
        <v>5</v>
      </c>
      <c r="P51">
        <f>VLOOKUP(C51,Dataflow!$1:$1048576,10,FALSE)</f>
        <v>10</v>
      </c>
      <c r="Q51">
        <f>VLOOKUP(C51,Dataproc!$1:$1048576,10,FALSE)</f>
        <v>5</v>
      </c>
      <c r="R51">
        <f>VLOOKUP(C51,'Google Kubernetes Engine'!$1:$1048576,10,FALSE)</f>
        <v>0</v>
      </c>
      <c r="S51">
        <f>VLOOKUP(C51,'Apigee API Management'!$1:$1048576,10,FALSE)</f>
        <v>0</v>
      </c>
      <c r="T51">
        <f>VLOOKUP(C51,'Cloud Run'!$1:$1048576,10,FALSE)</f>
        <v>0</v>
      </c>
      <c r="U51">
        <f>VLOOKUP(C51,Workspace!$1:$1048576,10,FALSE)</f>
        <v>0</v>
      </c>
      <c r="V51">
        <f>VLOOKUP(C51,'Cloud SQL'!$1:$1048576,10,FALSE)</f>
        <v>0</v>
      </c>
      <c r="W51">
        <f>VLOOKUP(C51,'AlloyDB for PostgreSQL'!$1:$1048576,10,FALSE)</f>
        <v>0</v>
      </c>
      <c r="X51">
        <f>VLOOKUP(C51,Spanner!$1:$1048576,10,FALSE)</f>
        <v>0</v>
      </c>
      <c r="Y51">
        <f>VLOOKUP(C51,Oracle!$1:$1048576,10,FALSE)</f>
        <v>0</v>
      </c>
      <c r="Z51">
        <f>VLOOKUP(C51,'Google Compute Engine'!$1:$1048576,10,FALSE)</f>
        <v>0</v>
      </c>
      <c r="AA51">
        <f>VLOOKUP(C51,'Google Cloud Networking'!$1:$1048576,10,FALSE)</f>
        <v>0</v>
      </c>
      <c r="AB51">
        <f>VLOOKUP(C51,'SAP on Google Cloud'!$1:$1048576,10,FALSE)</f>
        <v>0</v>
      </c>
      <c r="AC51">
        <f>VLOOKUP(C51,'Google Cloud VMware Engine'!$1:$1048576,10,FALSE)</f>
        <v>0</v>
      </c>
      <c r="AD51">
        <f>VLOOKUP(C51,'Google Distributed Cloud'!$1:$1048576,10,FALSE)</f>
        <v>0</v>
      </c>
      <c r="AE51">
        <f>VLOOKUP(C51,'Cloud Security'!$1:$1048576,10,FALSE)</f>
        <v>0</v>
      </c>
      <c r="AF51">
        <f>VLOOKUP(C51,'Security Command Center'!$1:$1048576,10,FALSE)</f>
        <v>0</v>
      </c>
      <c r="AG51">
        <f>VLOOKUP(C51,'Security Operations'!$1:$1048576,10,FALSE)</f>
        <v>0</v>
      </c>
      <c r="AH51">
        <f>VLOOKUP(C51,'Google Threat Intelligence'!$1:$1048576,10,FALSE)</f>
        <v>0</v>
      </c>
      <c r="AI51">
        <f>VLOOKUP(C51,'Vertex AI Platform'!$1:$1048576,10,FALSE)</f>
        <v>20</v>
      </c>
      <c r="AJ51">
        <f>VLOOKUP(C51,'AI Applications'!$1:$1048576,10,FALSE)</f>
        <v>0</v>
      </c>
      <c r="AK51">
        <f>VLOOKUP(C51,'Gemini Enterprise'!$1:$1048576,10,FALSE)</f>
        <v>0</v>
      </c>
      <c r="AL51">
        <f>VLOOKUP(C51,'Customer Engagement Suite'!$1:$1048576,10,FALSE)</f>
        <v>0</v>
      </c>
      <c r="AM51">
        <f t="shared" si="0"/>
        <v>50</v>
      </c>
    </row>
    <row r="52" spans="1:39">
      <c r="A52" s="5" t="s">
        <v>230</v>
      </c>
      <c r="B52" s="5" t="s">
        <v>71</v>
      </c>
      <c r="C52" s="6" t="s">
        <v>11</v>
      </c>
      <c r="D52" s="7" t="s">
        <v>105</v>
      </c>
      <c r="E52" s="7" t="s">
        <v>106</v>
      </c>
      <c r="F52" s="7" t="s">
        <v>149</v>
      </c>
      <c r="G52" s="5" t="s">
        <v>76</v>
      </c>
      <c r="H52" s="5" t="s">
        <v>163</v>
      </c>
      <c r="I52" s="7" t="s">
        <v>78</v>
      </c>
      <c r="J52" s="7" t="s">
        <v>150</v>
      </c>
      <c r="K52" s="7" t="s">
        <v>110</v>
      </c>
      <c r="L52" s="6" t="s">
        <v>111</v>
      </c>
      <c r="M52" s="10" t="s">
        <v>231</v>
      </c>
      <c r="N52">
        <f>VLOOKUP(C52,BigQuery!$1:$1048576,10,FALSE)</f>
        <v>0</v>
      </c>
      <c r="O52">
        <f>VLOOKUP(C52,Looker!$1:$1048576,10,FALSE)</f>
        <v>0</v>
      </c>
      <c r="P52">
        <f>VLOOKUP(C52,Dataflow!$1:$1048576,10,FALSE)</f>
        <v>0</v>
      </c>
      <c r="Q52">
        <f>VLOOKUP(C52,Dataproc!$1:$1048576,10,FALSE)</f>
        <v>0</v>
      </c>
      <c r="R52">
        <f>VLOOKUP(C52,'Google Kubernetes Engine'!$1:$1048576,10,FALSE)</f>
        <v>15</v>
      </c>
      <c r="S52">
        <f>VLOOKUP(C52,'Apigee API Management'!$1:$1048576,10,FALSE)</f>
        <v>0</v>
      </c>
      <c r="T52">
        <f>VLOOKUP(C52,'Cloud Run'!$1:$1048576,10,FALSE)</f>
        <v>0</v>
      </c>
      <c r="U52">
        <f>VLOOKUP(C52,Workspace!$1:$1048576,10,FALSE)</f>
        <v>0</v>
      </c>
      <c r="V52">
        <f>VLOOKUP(C52,'Cloud SQL'!$1:$1048576,10,FALSE)</f>
        <v>0</v>
      </c>
      <c r="W52">
        <f>VLOOKUP(C52,'AlloyDB for PostgreSQL'!$1:$1048576,10,FALSE)</f>
        <v>0</v>
      </c>
      <c r="X52">
        <f>VLOOKUP(C52,Spanner!$1:$1048576,10,FALSE)</f>
        <v>0</v>
      </c>
      <c r="Y52">
        <f>VLOOKUP(C52,Oracle!$1:$1048576,10,FALSE)</f>
        <v>0</v>
      </c>
      <c r="Z52">
        <f>VLOOKUP(C52,'Google Compute Engine'!$1:$1048576,10,FALSE)</f>
        <v>0</v>
      </c>
      <c r="AA52">
        <f>VLOOKUP(C52,'Google Cloud Networking'!$1:$1048576,10,FALSE)</f>
        <v>0</v>
      </c>
      <c r="AB52">
        <f>VLOOKUP(C52,'SAP on Google Cloud'!$1:$1048576,10,FALSE)</f>
        <v>15</v>
      </c>
      <c r="AC52">
        <f>VLOOKUP(C52,'Google Cloud VMware Engine'!$1:$1048576,10,FALSE)</f>
        <v>0</v>
      </c>
      <c r="AD52">
        <f>VLOOKUP(C52,'Google Distributed Cloud'!$1:$1048576,10,FALSE)</f>
        <v>0</v>
      </c>
      <c r="AE52">
        <f>VLOOKUP(C52,'Cloud Security'!$1:$1048576,10,FALSE)</f>
        <v>0</v>
      </c>
      <c r="AF52">
        <f>VLOOKUP(C52,'Security Command Center'!$1:$1048576,10,FALSE)</f>
        <v>0</v>
      </c>
      <c r="AG52">
        <f>VLOOKUP(C52,'Security Operations'!$1:$1048576,10,FALSE)</f>
        <v>0</v>
      </c>
      <c r="AH52">
        <f>VLOOKUP(C52,'Google Threat Intelligence'!$1:$1048576,10,FALSE)</f>
        <v>0</v>
      </c>
      <c r="AI52">
        <f>VLOOKUP(C52,'Vertex AI Platform'!$1:$1048576,10,FALSE)</f>
        <v>15</v>
      </c>
      <c r="AJ52">
        <f>VLOOKUP(C52,'AI Applications'!$1:$1048576,10,FALSE)</f>
        <v>15</v>
      </c>
      <c r="AK52">
        <f>VLOOKUP(C52,'Gemini Enterprise'!$1:$1048576,10,FALSE)</f>
        <v>15</v>
      </c>
      <c r="AL52">
        <f>VLOOKUP(C52,'Customer Engagement Suite'!$1:$1048576,10,FALSE)</f>
        <v>15</v>
      </c>
      <c r="AM52">
        <f t="shared" si="0"/>
        <v>90</v>
      </c>
    </row>
    <row r="53" spans="1:39">
      <c r="A53" s="5" t="s">
        <v>232</v>
      </c>
      <c r="B53" s="5" t="s">
        <v>71</v>
      </c>
      <c r="C53" s="6" t="s">
        <v>233</v>
      </c>
      <c r="D53" s="7" t="s">
        <v>105</v>
      </c>
      <c r="E53" s="7" t="s">
        <v>106</v>
      </c>
      <c r="F53" s="7" t="s">
        <v>75</v>
      </c>
      <c r="G53" s="5" t="s">
        <v>76</v>
      </c>
      <c r="H53" s="5" t="s">
        <v>77</v>
      </c>
      <c r="I53" s="7" t="s">
        <v>78</v>
      </c>
      <c r="J53" s="7" t="s">
        <v>206</v>
      </c>
      <c r="K53" s="7" t="s">
        <v>80</v>
      </c>
      <c r="L53" s="6" t="s">
        <v>218</v>
      </c>
      <c r="M53" s="10"/>
      <c r="N53">
        <f>VLOOKUP(C53,BigQuery!$1:$1048576,10,FALSE)</f>
        <v>0</v>
      </c>
      <c r="O53">
        <f>VLOOKUP(C53,Looker!$1:$1048576,10,FALSE)</f>
        <v>0</v>
      </c>
      <c r="P53">
        <f>VLOOKUP(C53,Dataflow!$1:$1048576,10,FALSE)</f>
        <v>0</v>
      </c>
      <c r="Q53">
        <f>VLOOKUP(C53,Dataproc!$1:$1048576,10,FALSE)</f>
        <v>0</v>
      </c>
      <c r="R53">
        <f>VLOOKUP(C53,'Google Kubernetes Engine'!$1:$1048576,10,FALSE)</f>
        <v>0</v>
      </c>
      <c r="S53">
        <f>VLOOKUP(C53,'Apigee API Management'!$1:$1048576,10,FALSE)</f>
        <v>0</v>
      </c>
      <c r="T53">
        <f>VLOOKUP(C53,'Cloud Run'!$1:$1048576,10,FALSE)</f>
        <v>0</v>
      </c>
      <c r="U53">
        <f>VLOOKUP(C53,Workspace!$1:$1048576,10,FALSE)</f>
        <v>0</v>
      </c>
      <c r="V53">
        <f>VLOOKUP(C53,'Cloud SQL'!$1:$1048576,10,FALSE)</f>
        <v>0</v>
      </c>
      <c r="W53">
        <f>VLOOKUP(C53,'AlloyDB for PostgreSQL'!$1:$1048576,10,FALSE)</f>
        <v>0</v>
      </c>
      <c r="X53">
        <f>VLOOKUP(C53,Spanner!$1:$1048576,10,FALSE)</f>
        <v>0</v>
      </c>
      <c r="Y53">
        <f>VLOOKUP(C53,Oracle!$1:$1048576,10,FALSE)</f>
        <v>0</v>
      </c>
      <c r="Z53">
        <f>VLOOKUP(C53,'Google Compute Engine'!$1:$1048576,10,FALSE)</f>
        <v>0</v>
      </c>
      <c r="AA53">
        <f>VLOOKUP(C53,'Google Cloud Networking'!$1:$1048576,10,FALSE)</f>
        <v>0</v>
      </c>
      <c r="AB53">
        <f>VLOOKUP(C53,'SAP on Google Cloud'!$1:$1048576,10,FALSE)</f>
        <v>0</v>
      </c>
      <c r="AC53">
        <f>VLOOKUP(C53,'Google Cloud VMware Engine'!$1:$1048576,10,FALSE)</f>
        <v>0</v>
      </c>
      <c r="AD53">
        <f>VLOOKUP(C53,'Google Distributed Cloud'!$1:$1048576,10,FALSE)</f>
        <v>0</v>
      </c>
      <c r="AE53">
        <f>VLOOKUP(C53,'Cloud Security'!$1:$1048576,10,FALSE)</f>
        <v>0</v>
      </c>
      <c r="AF53">
        <f>VLOOKUP(C53,'Security Command Center'!$1:$1048576,10,FALSE)</f>
        <v>0</v>
      </c>
      <c r="AG53">
        <f>VLOOKUP(C53,'Security Operations'!$1:$1048576,10,FALSE)</f>
        <v>0</v>
      </c>
      <c r="AH53">
        <f>VLOOKUP(C53,'Google Threat Intelligence'!$1:$1048576,10,FALSE)</f>
        <v>0</v>
      </c>
      <c r="AI53">
        <f>VLOOKUP(C53,'Vertex AI Platform'!$1:$1048576,10,FALSE)</f>
        <v>0</v>
      </c>
      <c r="AJ53">
        <f>VLOOKUP(C53,'AI Applications'!$1:$1048576,10,FALSE)</f>
        <v>0</v>
      </c>
      <c r="AK53">
        <f>VLOOKUP(C53,'Gemini Enterprise'!$1:$1048576,10,FALSE)</f>
        <v>0</v>
      </c>
      <c r="AL53">
        <f>VLOOKUP(C53,'Customer Engagement Suite'!$1:$1048576,10,FALSE)</f>
        <v>0</v>
      </c>
      <c r="AM53">
        <f t="shared" si="0"/>
        <v>0</v>
      </c>
    </row>
    <row r="54" spans="1:39">
      <c r="A54" s="5" t="s">
        <v>234</v>
      </c>
      <c r="B54" s="5" t="s">
        <v>89</v>
      </c>
      <c r="C54" s="6" t="s">
        <v>235</v>
      </c>
      <c r="D54" s="7" t="s">
        <v>119</v>
      </c>
      <c r="E54" s="7" t="s">
        <v>120</v>
      </c>
      <c r="F54" s="7" t="s">
        <v>107</v>
      </c>
      <c r="G54" s="5" t="s">
        <v>76</v>
      </c>
      <c r="H54" s="5" t="s">
        <v>163</v>
      </c>
      <c r="I54" s="7" t="s">
        <v>78</v>
      </c>
      <c r="J54" s="7" t="s">
        <v>150</v>
      </c>
      <c r="K54" s="7" t="s">
        <v>110</v>
      </c>
      <c r="L54" s="6" t="s">
        <v>111</v>
      </c>
      <c r="M54" s="10"/>
      <c r="N54">
        <f>VLOOKUP(C54,BigQuery!$1:$1048576,10,FALSE)</f>
        <v>0</v>
      </c>
      <c r="O54">
        <f>VLOOKUP(C54,Looker!$1:$1048576,10,FALSE)</f>
        <v>0</v>
      </c>
      <c r="P54">
        <f>VLOOKUP(C54,Dataflow!$1:$1048576,10,FALSE)</f>
        <v>0</v>
      </c>
      <c r="Q54">
        <f>VLOOKUP(C54,Dataproc!$1:$1048576,10,FALSE)</f>
        <v>0</v>
      </c>
      <c r="R54">
        <f>VLOOKUP(C54,'Google Kubernetes Engine'!$1:$1048576,10,FALSE)</f>
        <v>0</v>
      </c>
      <c r="S54">
        <f>VLOOKUP(C54,'Apigee API Management'!$1:$1048576,10,FALSE)</f>
        <v>0</v>
      </c>
      <c r="T54">
        <f>VLOOKUP(C54,'Cloud Run'!$1:$1048576,10,FALSE)</f>
        <v>0</v>
      </c>
      <c r="U54">
        <f>VLOOKUP(C54,Workspace!$1:$1048576,10,FALSE)</f>
        <v>0</v>
      </c>
      <c r="V54">
        <f>VLOOKUP(C54,'Cloud SQL'!$1:$1048576,10,FALSE)</f>
        <v>0</v>
      </c>
      <c r="W54">
        <f>VLOOKUP(C54,'AlloyDB for PostgreSQL'!$1:$1048576,10,FALSE)</f>
        <v>0</v>
      </c>
      <c r="X54">
        <f>VLOOKUP(C54,Spanner!$1:$1048576,10,FALSE)</f>
        <v>0</v>
      </c>
      <c r="Y54">
        <f>VLOOKUP(C54,Oracle!$1:$1048576,10,FALSE)</f>
        <v>0</v>
      </c>
      <c r="Z54">
        <f>VLOOKUP(C54,'Google Compute Engine'!$1:$1048576,10,FALSE)</f>
        <v>0</v>
      </c>
      <c r="AA54">
        <f>VLOOKUP(C54,'Google Cloud Networking'!$1:$1048576,10,FALSE)</f>
        <v>0</v>
      </c>
      <c r="AB54">
        <f>VLOOKUP(C54,'SAP on Google Cloud'!$1:$1048576,10,FALSE)</f>
        <v>0</v>
      </c>
      <c r="AC54">
        <f>VLOOKUP(C54,'Google Cloud VMware Engine'!$1:$1048576,10,FALSE)</f>
        <v>0</v>
      </c>
      <c r="AD54">
        <f>VLOOKUP(C54,'Google Distributed Cloud'!$1:$1048576,10,FALSE)</f>
        <v>0</v>
      </c>
      <c r="AE54">
        <f>VLOOKUP(C54,'Cloud Security'!$1:$1048576,10,FALSE)</f>
        <v>0</v>
      </c>
      <c r="AF54">
        <f>VLOOKUP(C54,'Security Command Center'!$1:$1048576,10,FALSE)</f>
        <v>0</v>
      </c>
      <c r="AG54">
        <f>VLOOKUP(C54,'Security Operations'!$1:$1048576,10,FALSE)</f>
        <v>0</v>
      </c>
      <c r="AH54">
        <f>VLOOKUP(C54,'Google Threat Intelligence'!$1:$1048576,10,FALSE)</f>
        <v>0</v>
      </c>
      <c r="AI54">
        <f>VLOOKUP(C54,'Vertex AI Platform'!$1:$1048576,10,FALSE)</f>
        <v>0</v>
      </c>
      <c r="AJ54">
        <f>VLOOKUP(C54,'AI Applications'!$1:$1048576,10,FALSE)</f>
        <v>0</v>
      </c>
      <c r="AK54">
        <f>VLOOKUP(C54,'Gemini Enterprise'!$1:$1048576,10,FALSE)</f>
        <v>0</v>
      </c>
      <c r="AL54" t="e">
        <f>VLOOKUP(C54,'Customer Engagement Suite'!$1:$1048576,10,FALSE)</f>
        <v>#N/A</v>
      </c>
      <c r="AM54" t="e">
        <f t="shared" si="0"/>
        <v>#N/A</v>
      </c>
    </row>
    <row r="55" spans="1:39">
      <c r="A55" s="5" t="s">
        <v>236</v>
      </c>
      <c r="B55" s="5" t="s">
        <v>99</v>
      </c>
      <c r="C55" s="6" t="s">
        <v>237</v>
      </c>
      <c r="D55" s="7" t="s">
        <v>238</v>
      </c>
      <c r="E55" s="7" t="s">
        <v>74</v>
      </c>
      <c r="F55" s="7" t="s">
        <v>136</v>
      </c>
      <c r="G55" s="5" t="s">
        <v>102</v>
      </c>
      <c r="H55" s="5" t="s">
        <v>108</v>
      </c>
      <c r="I55" s="7" t="s">
        <v>78</v>
      </c>
      <c r="J55" s="7" t="s">
        <v>137</v>
      </c>
      <c r="K55" s="7" t="s">
        <v>110</v>
      </c>
      <c r="L55" s="6" t="s">
        <v>111</v>
      </c>
      <c r="M55" s="10" t="s">
        <v>145</v>
      </c>
      <c r="N55">
        <f>VLOOKUP(C55,BigQuery!$1:$1048576,10,FALSE)</f>
        <v>0</v>
      </c>
      <c r="O55">
        <f>VLOOKUP(C55,Looker!$1:$1048576,10,FALSE)</f>
        <v>0</v>
      </c>
      <c r="P55">
        <f>VLOOKUP(C55,Dataflow!$1:$1048576,10,FALSE)</f>
        <v>0</v>
      </c>
      <c r="Q55">
        <f>VLOOKUP(C55,Dataproc!$1:$1048576,10,FALSE)</f>
        <v>0</v>
      </c>
      <c r="R55">
        <f>VLOOKUP(C55,'Google Kubernetes Engine'!$1:$1048576,10,FALSE)</f>
        <v>0</v>
      </c>
      <c r="S55">
        <f>VLOOKUP(C55,'Apigee API Management'!$1:$1048576,10,FALSE)</f>
        <v>0</v>
      </c>
      <c r="T55">
        <f>VLOOKUP(C55,'Cloud Run'!$1:$1048576,10,FALSE)</f>
        <v>0</v>
      </c>
      <c r="U55">
        <f>VLOOKUP(C55,Workspace!$1:$1048576,10,FALSE)</f>
        <v>0</v>
      </c>
      <c r="V55">
        <f>VLOOKUP(C55,'Cloud SQL'!$1:$1048576,10,FALSE)</f>
        <v>0</v>
      </c>
      <c r="W55">
        <f>VLOOKUP(C55,'AlloyDB for PostgreSQL'!$1:$1048576,10,FALSE)</f>
        <v>0</v>
      </c>
      <c r="X55">
        <f>VLOOKUP(C55,Spanner!$1:$1048576,10,FALSE)</f>
        <v>0</v>
      </c>
      <c r="Y55">
        <f>VLOOKUP(C55,Oracle!$1:$1048576,10,FALSE)</f>
        <v>0</v>
      </c>
      <c r="Z55">
        <f>VLOOKUP(C55,'Google Compute Engine'!$1:$1048576,10,FALSE)</f>
        <v>0</v>
      </c>
      <c r="AA55">
        <f>VLOOKUP(C55,'Google Cloud Networking'!$1:$1048576,10,FALSE)</f>
        <v>0</v>
      </c>
      <c r="AB55">
        <f>VLOOKUP(C55,'SAP on Google Cloud'!$1:$1048576,10,FALSE)</f>
        <v>0</v>
      </c>
      <c r="AC55">
        <f>VLOOKUP(C55,'Google Cloud VMware Engine'!$1:$1048576,10,FALSE)</f>
        <v>0</v>
      </c>
      <c r="AD55">
        <f>VLOOKUP(C55,'Google Distributed Cloud'!$1:$1048576,10,FALSE)</f>
        <v>0</v>
      </c>
      <c r="AE55">
        <f>VLOOKUP(C55,'Cloud Security'!$1:$1048576,10,FALSE)</f>
        <v>0</v>
      </c>
      <c r="AF55">
        <f>VLOOKUP(C55,'Security Command Center'!$1:$1048576,10,FALSE)</f>
        <v>0</v>
      </c>
      <c r="AG55">
        <f>VLOOKUP(C55,'Security Operations'!$1:$1048576,10,FALSE)</f>
        <v>0</v>
      </c>
      <c r="AH55">
        <f>VLOOKUP(C55,'Google Threat Intelligence'!$1:$1048576,10,FALSE)</f>
        <v>0</v>
      </c>
      <c r="AI55">
        <f>VLOOKUP(C55,'Vertex AI Platform'!$1:$1048576,10,FALSE)</f>
        <v>0</v>
      </c>
      <c r="AJ55">
        <f>VLOOKUP(C55,'AI Applications'!$1:$1048576,10,FALSE)</f>
        <v>0</v>
      </c>
      <c r="AK55">
        <f>VLOOKUP(C55,'Gemini Enterprise'!$1:$1048576,10,FALSE)</f>
        <v>0</v>
      </c>
      <c r="AL55">
        <f>VLOOKUP(C55,'Customer Engagement Suite'!$1:$1048576,10,FALSE)</f>
        <v>0</v>
      </c>
      <c r="AM55">
        <f t="shared" si="0"/>
        <v>0</v>
      </c>
    </row>
    <row r="56" spans="1:39">
      <c r="A56" s="5" t="s">
        <v>239</v>
      </c>
      <c r="B56" s="5" t="s">
        <v>89</v>
      </c>
      <c r="C56" s="6" t="s">
        <v>240</v>
      </c>
      <c r="D56" s="7" t="s">
        <v>82</v>
      </c>
      <c r="E56" s="7" t="s">
        <v>83</v>
      </c>
      <c r="F56" s="7" t="s">
        <v>189</v>
      </c>
      <c r="G56" s="5" t="s">
        <v>241</v>
      </c>
      <c r="H56" s="5" t="s">
        <v>242</v>
      </c>
      <c r="I56" s="7" t="s">
        <v>243</v>
      </c>
      <c r="J56" s="7" t="s">
        <v>95</v>
      </c>
      <c r="K56" s="7" t="s">
        <v>96</v>
      </c>
      <c r="L56" s="6" t="s">
        <v>24</v>
      </c>
      <c r="M56" s="10"/>
      <c r="N56">
        <f>VLOOKUP(C56,BigQuery!$1:$1048576,10,FALSE)</f>
        <v>0</v>
      </c>
      <c r="O56">
        <f>VLOOKUP(C56,Looker!$1:$1048576,10,FALSE)</f>
        <v>0</v>
      </c>
      <c r="P56">
        <f>VLOOKUP(C56,Dataflow!$1:$1048576,10,FALSE)</f>
        <v>0</v>
      </c>
      <c r="Q56">
        <f>VLOOKUP(C56,Dataproc!$1:$1048576,10,FALSE)</f>
        <v>0</v>
      </c>
      <c r="R56">
        <f>VLOOKUP(C56,'Google Kubernetes Engine'!$1:$1048576,10,FALSE)</f>
        <v>0</v>
      </c>
      <c r="S56">
        <f>VLOOKUP(C56,'Apigee API Management'!$1:$1048576,10,FALSE)</f>
        <v>0</v>
      </c>
      <c r="T56">
        <f>VLOOKUP(C56,'Cloud Run'!$1:$1048576,10,FALSE)</f>
        <v>0</v>
      </c>
      <c r="U56">
        <f>VLOOKUP(C56,Workspace!$1:$1048576,10,FALSE)</f>
        <v>0</v>
      </c>
      <c r="V56">
        <f>VLOOKUP(C56,'Cloud SQL'!$1:$1048576,10,FALSE)</f>
        <v>0</v>
      </c>
      <c r="W56">
        <f>VLOOKUP(C56,'AlloyDB for PostgreSQL'!$1:$1048576,10,FALSE)</f>
        <v>0</v>
      </c>
      <c r="X56">
        <f>VLOOKUP(C56,Spanner!$1:$1048576,10,FALSE)</f>
        <v>0</v>
      </c>
      <c r="Y56">
        <f>VLOOKUP(C56,Oracle!$1:$1048576,10,FALSE)</f>
        <v>0</v>
      </c>
      <c r="Z56">
        <f>VLOOKUP(C56,'Google Compute Engine'!$1:$1048576,10,FALSE)</f>
        <v>0</v>
      </c>
      <c r="AA56">
        <f>VLOOKUP(C56,'Google Cloud Networking'!$1:$1048576,10,FALSE)</f>
        <v>0</v>
      </c>
      <c r="AB56">
        <f>VLOOKUP(C56,'SAP on Google Cloud'!$1:$1048576,10,FALSE)</f>
        <v>0</v>
      </c>
      <c r="AC56">
        <f>VLOOKUP(C56,'Google Cloud VMware Engine'!$1:$1048576,10,FALSE)</f>
        <v>0</v>
      </c>
      <c r="AD56">
        <f>VLOOKUP(C56,'Google Distributed Cloud'!$1:$1048576,10,FALSE)</f>
        <v>0</v>
      </c>
      <c r="AE56">
        <f>VLOOKUP(C56,'Cloud Security'!$1:$1048576,10,FALSE)</f>
        <v>0</v>
      </c>
      <c r="AF56">
        <f>VLOOKUP(C56,'Security Command Center'!$1:$1048576,10,FALSE)</f>
        <v>0</v>
      </c>
      <c r="AG56">
        <f>VLOOKUP(C56,'Security Operations'!$1:$1048576,10,FALSE)</f>
        <v>0</v>
      </c>
      <c r="AH56">
        <f>VLOOKUP(C56,'Google Threat Intelligence'!$1:$1048576,10,FALSE)</f>
        <v>0</v>
      </c>
      <c r="AI56">
        <f>VLOOKUP(C56,'Vertex AI Platform'!$1:$1048576,10,FALSE)</f>
        <v>0</v>
      </c>
      <c r="AJ56">
        <f>VLOOKUP(C56,'AI Applications'!$1:$1048576,10,FALSE)</f>
        <v>0</v>
      </c>
      <c r="AK56">
        <f>VLOOKUP(C56,'Gemini Enterprise'!$1:$1048576,10,FALSE)</f>
        <v>0</v>
      </c>
      <c r="AL56">
        <f>VLOOKUP(C56,'Customer Engagement Suite'!$1:$1048576,10,FALSE)</f>
        <v>0</v>
      </c>
      <c r="AM56">
        <f t="shared" si="0"/>
        <v>0</v>
      </c>
    </row>
    <row r="57" spans="1:39">
      <c r="A57" s="5" t="s">
        <v>244</v>
      </c>
      <c r="B57" s="5" t="s">
        <v>99</v>
      </c>
      <c r="C57" s="6" t="s">
        <v>245</v>
      </c>
      <c r="D57" s="7" t="s">
        <v>115</v>
      </c>
      <c r="E57" s="7" t="s">
        <v>116</v>
      </c>
      <c r="F57" s="7" t="s">
        <v>101</v>
      </c>
      <c r="G57" s="5" t="s">
        <v>102</v>
      </c>
      <c r="H57" s="5" t="s">
        <v>103</v>
      </c>
      <c r="I57" s="7" t="s">
        <v>78</v>
      </c>
      <c r="J57" s="7" t="s">
        <v>86</v>
      </c>
      <c r="K57" s="7" t="s">
        <v>87</v>
      </c>
      <c r="L57" s="6" t="s">
        <v>6</v>
      </c>
      <c r="M57" s="10"/>
      <c r="N57">
        <f>VLOOKUP(C57,BigQuery!$1:$1048576,10,FALSE)</f>
        <v>0</v>
      </c>
      <c r="O57">
        <f>VLOOKUP(C57,Looker!$1:$1048576,10,FALSE)</f>
        <v>0</v>
      </c>
      <c r="P57">
        <f>VLOOKUP(C57,Dataflow!$1:$1048576,10,FALSE)</f>
        <v>0</v>
      </c>
      <c r="Q57">
        <f>VLOOKUP(C57,Dataproc!$1:$1048576,10,FALSE)</f>
        <v>0</v>
      </c>
      <c r="R57">
        <f>VLOOKUP(C57,'Google Kubernetes Engine'!$1:$1048576,10,FALSE)</f>
        <v>0</v>
      </c>
      <c r="S57">
        <f>VLOOKUP(C57,'Apigee API Management'!$1:$1048576,10,FALSE)</f>
        <v>0</v>
      </c>
      <c r="T57">
        <f>VLOOKUP(C57,'Cloud Run'!$1:$1048576,10,FALSE)</f>
        <v>0</v>
      </c>
      <c r="U57">
        <f>VLOOKUP(C57,Workspace!$1:$1048576,10,FALSE)</f>
        <v>0</v>
      </c>
      <c r="V57">
        <f>VLOOKUP(C57,'Cloud SQL'!$1:$1048576,10,FALSE)</f>
        <v>0</v>
      </c>
      <c r="W57">
        <f>VLOOKUP(C57,'AlloyDB for PostgreSQL'!$1:$1048576,10,FALSE)</f>
        <v>0</v>
      </c>
      <c r="X57">
        <f>VLOOKUP(C57,Spanner!$1:$1048576,10,FALSE)</f>
        <v>0</v>
      </c>
      <c r="Y57">
        <f>VLOOKUP(C57,Oracle!$1:$1048576,10,FALSE)</f>
        <v>0</v>
      </c>
      <c r="Z57">
        <f>VLOOKUP(C57,'Google Compute Engine'!$1:$1048576,10,FALSE)</f>
        <v>0</v>
      </c>
      <c r="AA57">
        <f>VLOOKUP(C57,'Google Cloud Networking'!$1:$1048576,10,FALSE)</f>
        <v>0</v>
      </c>
      <c r="AB57">
        <f>VLOOKUP(C57,'SAP on Google Cloud'!$1:$1048576,10,FALSE)</f>
        <v>0</v>
      </c>
      <c r="AC57">
        <f>VLOOKUP(C57,'Google Cloud VMware Engine'!$1:$1048576,10,FALSE)</f>
        <v>0</v>
      </c>
      <c r="AD57">
        <f>VLOOKUP(C57,'Google Distributed Cloud'!$1:$1048576,10,FALSE)</f>
        <v>0</v>
      </c>
      <c r="AE57">
        <f>VLOOKUP(C57,'Cloud Security'!$1:$1048576,10,FALSE)</f>
        <v>0</v>
      </c>
      <c r="AF57">
        <f>VLOOKUP(C57,'Security Command Center'!$1:$1048576,10,FALSE)</f>
        <v>0</v>
      </c>
      <c r="AG57">
        <f>VLOOKUP(C57,'Security Operations'!$1:$1048576,10,FALSE)</f>
        <v>0</v>
      </c>
      <c r="AH57">
        <f>VLOOKUP(C57,'Google Threat Intelligence'!$1:$1048576,10,FALSE)</f>
        <v>0</v>
      </c>
      <c r="AI57">
        <f>VLOOKUP(C57,'Vertex AI Platform'!$1:$1048576,10,FALSE)</f>
        <v>0</v>
      </c>
      <c r="AJ57">
        <f>VLOOKUP(C57,'AI Applications'!$1:$1048576,10,FALSE)</f>
        <v>0</v>
      </c>
      <c r="AK57">
        <f>VLOOKUP(C57,'Gemini Enterprise'!$1:$1048576,10,FALSE)</f>
        <v>0</v>
      </c>
      <c r="AL57">
        <f>VLOOKUP(C57,'Customer Engagement Suite'!$1:$1048576,10,FALSE)</f>
        <v>0</v>
      </c>
      <c r="AM57">
        <f t="shared" si="0"/>
        <v>0</v>
      </c>
    </row>
    <row r="58" spans="1:39">
      <c r="A58" s="5" t="s">
        <v>246</v>
      </c>
      <c r="B58" s="5" t="s">
        <v>99</v>
      </c>
      <c r="C58" s="6" t="s">
        <v>247</v>
      </c>
      <c r="D58" s="7" t="s">
        <v>135</v>
      </c>
      <c r="E58" s="7" t="s">
        <v>116</v>
      </c>
      <c r="F58" s="7" t="s">
        <v>144</v>
      </c>
      <c r="G58" s="5" t="s">
        <v>102</v>
      </c>
      <c r="H58" s="5" t="s">
        <v>108</v>
      </c>
      <c r="I58" s="7" t="s">
        <v>78</v>
      </c>
      <c r="J58" s="7" t="s">
        <v>137</v>
      </c>
      <c r="K58" s="7" t="s">
        <v>110</v>
      </c>
      <c r="L58" s="6" t="s">
        <v>111</v>
      </c>
      <c r="M58" s="10" t="s">
        <v>145</v>
      </c>
      <c r="N58">
        <f>VLOOKUP(C58,BigQuery!$1:$1048576,10,FALSE)</f>
        <v>0</v>
      </c>
      <c r="O58">
        <f>VLOOKUP(C58,Looker!$1:$1048576,10,FALSE)</f>
        <v>0</v>
      </c>
      <c r="P58">
        <f>VLOOKUP(C58,Dataflow!$1:$1048576,10,FALSE)</f>
        <v>0</v>
      </c>
      <c r="Q58">
        <f>VLOOKUP(C58,Dataproc!$1:$1048576,10,FALSE)</f>
        <v>0</v>
      </c>
      <c r="R58">
        <f>VLOOKUP(C58,'Google Kubernetes Engine'!$1:$1048576,10,FALSE)</f>
        <v>0</v>
      </c>
      <c r="S58">
        <f>VLOOKUP(C58,'Apigee API Management'!$1:$1048576,10,FALSE)</f>
        <v>0</v>
      </c>
      <c r="T58">
        <f>VLOOKUP(C58,'Cloud Run'!$1:$1048576,10,FALSE)</f>
        <v>0</v>
      </c>
      <c r="U58">
        <f>VLOOKUP(C58,Workspace!$1:$1048576,10,FALSE)</f>
        <v>0</v>
      </c>
      <c r="V58">
        <f>VLOOKUP(C58,'Cloud SQL'!$1:$1048576,10,FALSE)</f>
        <v>0</v>
      </c>
      <c r="W58">
        <f>VLOOKUP(C58,'AlloyDB for PostgreSQL'!$1:$1048576,10,FALSE)</f>
        <v>0</v>
      </c>
      <c r="X58">
        <f>VLOOKUP(C58,Spanner!$1:$1048576,10,FALSE)</f>
        <v>0</v>
      </c>
      <c r="Y58">
        <f>VLOOKUP(C58,Oracle!$1:$1048576,10,FALSE)</f>
        <v>0</v>
      </c>
      <c r="Z58">
        <f>VLOOKUP(C58,'Google Compute Engine'!$1:$1048576,10,FALSE)</f>
        <v>0</v>
      </c>
      <c r="AA58">
        <f>VLOOKUP(C58,'Google Cloud Networking'!$1:$1048576,10,FALSE)</f>
        <v>0</v>
      </c>
      <c r="AB58">
        <f>VLOOKUP(C58,'SAP on Google Cloud'!$1:$1048576,10,FALSE)</f>
        <v>0</v>
      </c>
      <c r="AC58">
        <f>VLOOKUP(C58,'Google Cloud VMware Engine'!$1:$1048576,10,FALSE)</f>
        <v>0</v>
      </c>
      <c r="AD58">
        <f>VLOOKUP(C58,'Google Distributed Cloud'!$1:$1048576,10,FALSE)</f>
        <v>0</v>
      </c>
      <c r="AE58">
        <f>VLOOKUP(C58,'Cloud Security'!$1:$1048576,10,FALSE)</f>
        <v>0</v>
      </c>
      <c r="AF58">
        <f>VLOOKUP(C58,'Security Command Center'!$1:$1048576,10,FALSE)</f>
        <v>0</v>
      </c>
      <c r="AG58">
        <f>VLOOKUP(C58,'Security Operations'!$1:$1048576,10,FALSE)</f>
        <v>0</v>
      </c>
      <c r="AH58">
        <f>VLOOKUP(C58,'Google Threat Intelligence'!$1:$1048576,10,FALSE)</f>
        <v>0</v>
      </c>
      <c r="AI58">
        <f>VLOOKUP(C58,'Vertex AI Platform'!$1:$1048576,10,FALSE)</f>
        <v>0</v>
      </c>
      <c r="AJ58">
        <f>VLOOKUP(C58,'AI Applications'!$1:$1048576,10,FALSE)</f>
        <v>0</v>
      </c>
      <c r="AK58">
        <f>VLOOKUP(C58,'Gemini Enterprise'!$1:$1048576,10,FALSE)</f>
        <v>0</v>
      </c>
      <c r="AL58">
        <f>VLOOKUP(C58,'Customer Engagement Suite'!$1:$1048576,10,FALSE)</f>
        <v>0</v>
      </c>
      <c r="AM58">
        <f t="shared" si="0"/>
        <v>0</v>
      </c>
    </row>
    <row r="59" spans="1:39">
      <c r="A59" s="5" t="s">
        <v>248</v>
      </c>
      <c r="B59" s="5" t="s">
        <v>99</v>
      </c>
      <c r="C59" s="6" t="s">
        <v>13</v>
      </c>
      <c r="D59" s="7" t="s">
        <v>211</v>
      </c>
      <c r="E59" s="7" t="s">
        <v>132</v>
      </c>
      <c r="F59" s="7" t="s">
        <v>196</v>
      </c>
      <c r="G59" s="5" t="s">
        <v>102</v>
      </c>
      <c r="H59" s="5" t="s">
        <v>108</v>
      </c>
      <c r="I59" s="7" t="s">
        <v>78</v>
      </c>
      <c r="J59" s="7" t="s">
        <v>137</v>
      </c>
      <c r="K59" s="7" t="s">
        <v>110</v>
      </c>
      <c r="L59" s="6" t="s">
        <v>111</v>
      </c>
      <c r="M59" s="10" t="s">
        <v>112</v>
      </c>
      <c r="N59">
        <f>VLOOKUP(C59,BigQuery!$1:$1048576,10,FALSE)</f>
        <v>0</v>
      </c>
      <c r="O59">
        <f>VLOOKUP(C59,Looker!$1:$1048576,10,FALSE)</f>
        <v>0</v>
      </c>
      <c r="P59">
        <f>VLOOKUP(C59,Dataflow!$1:$1048576,10,FALSE)</f>
        <v>0</v>
      </c>
      <c r="Q59">
        <f>VLOOKUP(C59,Dataproc!$1:$1048576,10,FALSE)</f>
        <v>0</v>
      </c>
      <c r="R59">
        <f>VLOOKUP(C59,'Google Kubernetes Engine'!$1:$1048576,10,FALSE)</f>
        <v>20</v>
      </c>
      <c r="S59">
        <f>VLOOKUP(C59,'Apigee API Management'!$1:$1048576,10,FALSE)</f>
        <v>10</v>
      </c>
      <c r="T59">
        <f>VLOOKUP(C59,'Cloud Run'!$1:$1048576,10,FALSE)</f>
        <v>30</v>
      </c>
      <c r="U59">
        <f>VLOOKUP(C59,Workspace!$1:$1048576,10,FALSE)</f>
        <v>0</v>
      </c>
      <c r="V59">
        <f>VLOOKUP(C59,'Cloud SQL'!$1:$1048576,10,FALSE)</f>
        <v>10</v>
      </c>
      <c r="W59">
        <f>VLOOKUP(C59,'AlloyDB for PostgreSQL'!$1:$1048576,10,FALSE)</f>
        <v>0</v>
      </c>
      <c r="X59">
        <f>VLOOKUP(C59,Spanner!$1:$1048576,10,FALSE)</f>
        <v>0</v>
      </c>
      <c r="Y59">
        <f>VLOOKUP(C59,Oracle!$1:$1048576,10,FALSE)</f>
        <v>0</v>
      </c>
      <c r="Z59">
        <f>VLOOKUP(C59,'Google Compute Engine'!$1:$1048576,10,FALSE)</f>
        <v>0</v>
      </c>
      <c r="AA59">
        <f>VLOOKUP(C59,'Google Cloud Networking'!$1:$1048576,10,FALSE)</f>
        <v>0</v>
      </c>
      <c r="AB59">
        <f>VLOOKUP(C59,'SAP on Google Cloud'!$1:$1048576,10,FALSE)</f>
        <v>0</v>
      </c>
      <c r="AC59">
        <f>VLOOKUP(C59,'Google Cloud VMware Engine'!$1:$1048576,10,FALSE)</f>
        <v>0</v>
      </c>
      <c r="AD59">
        <f>VLOOKUP(C59,'Google Distributed Cloud'!$1:$1048576,10,FALSE)</f>
        <v>0</v>
      </c>
      <c r="AE59">
        <f>VLOOKUP(C59,'Cloud Security'!$1:$1048576,10,FALSE)</f>
        <v>0</v>
      </c>
      <c r="AF59">
        <f>VLOOKUP(C59,'Security Command Center'!$1:$1048576,10,FALSE)</f>
        <v>0</v>
      </c>
      <c r="AG59">
        <f>VLOOKUP(C59,'Security Operations'!$1:$1048576,10,FALSE)</f>
        <v>0</v>
      </c>
      <c r="AH59">
        <f>VLOOKUP(C59,'Google Threat Intelligence'!$1:$1048576,10,FALSE)</f>
        <v>0</v>
      </c>
      <c r="AI59">
        <f>VLOOKUP(C59,'Vertex AI Platform'!$1:$1048576,10,FALSE)</f>
        <v>0</v>
      </c>
      <c r="AJ59">
        <f>VLOOKUP(C59,'AI Applications'!$1:$1048576,10,FALSE)</f>
        <v>0</v>
      </c>
      <c r="AK59">
        <f>VLOOKUP(C59,'Gemini Enterprise'!$1:$1048576,10,FALSE)</f>
        <v>0</v>
      </c>
      <c r="AL59">
        <f>VLOOKUP(C59,'Customer Engagement Suite'!$1:$1048576,10,FALSE)</f>
        <v>0</v>
      </c>
      <c r="AM59">
        <f t="shared" si="0"/>
        <v>70</v>
      </c>
    </row>
    <row r="60" spans="1:39">
      <c r="A60" s="5" t="s">
        <v>249</v>
      </c>
      <c r="B60" s="5" t="s">
        <v>99</v>
      </c>
      <c r="C60" s="6" t="s">
        <v>250</v>
      </c>
      <c r="D60" s="7" t="s">
        <v>73</v>
      </c>
      <c r="E60" s="7" t="s">
        <v>74</v>
      </c>
      <c r="F60" s="7" t="s">
        <v>101</v>
      </c>
      <c r="G60" s="5" t="s">
        <v>102</v>
      </c>
      <c r="H60" s="5" t="s">
        <v>103</v>
      </c>
      <c r="I60" s="7" t="s">
        <v>78</v>
      </c>
      <c r="J60" s="7" t="s">
        <v>86</v>
      </c>
      <c r="K60" s="7" t="s">
        <v>87</v>
      </c>
      <c r="L60" s="6" t="s">
        <v>6</v>
      </c>
      <c r="M60" s="10"/>
      <c r="N60">
        <f>VLOOKUP(C60,BigQuery!$1:$1048576,10,FALSE)</f>
        <v>0</v>
      </c>
      <c r="O60">
        <f>VLOOKUP(C60,Looker!$1:$1048576,10,FALSE)</f>
        <v>0</v>
      </c>
      <c r="P60">
        <f>VLOOKUP(C60,Dataflow!$1:$1048576,10,FALSE)</f>
        <v>0</v>
      </c>
      <c r="Q60">
        <f>VLOOKUP(C60,Dataproc!$1:$1048576,10,FALSE)</f>
        <v>0</v>
      </c>
      <c r="R60">
        <f>VLOOKUP(C60,'Google Kubernetes Engine'!$1:$1048576,10,FALSE)</f>
        <v>0</v>
      </c>
      <c r="S60">
        <f>VLOOKUP(C60,'Apigee API Management'!$1:$1048576,10,FALSE)</f>
        <v>0</v>
      </c>
      <c r="T60">
        <f>VLOOKUP(C60,'Cloud Run'!$1:$1048576,10,FALSE)</f>
        <v>0</v>
      </c>
      <c r="U60">
        <f>VLOOKUP(C60,Workspace!$1:$1048576,10,FALSE)</f>
        <v>0</v>
      </c>
      <c r="V60">
        <f>VLOOKUP(C60,'Cloud SQL'!$1:$1048576,10,FALSE)</f>
        <v>0</v>
      </c>
      <c r="W60">
        <f>VLOOKUP(C60,'AlloyDB for PostgreSQL'!$1:$1048576,10,FALSE)</f>
        <v>0</v>
      </c>
      <c r="X60">
        <f>VLOOKUP(C60,Spanner!$1:$1048576,10,FALSE)</f>
        <v>0</v>
      </c>
      <c r="Y60">
        <f>VLOOKUP(C60,Oracle!$1:$1048576,10,FALSE)</f>
        <v>0</v>
      </c>
      <c r="Z60">
        <f>VLOOKUP(C60,'Google Compute Engine'!$1:$1048576,10,FALSE)</f>
        <v>0</v>
      </c>
      <c r="AA60">
        <f>VLOOKUP(C60,'Google Cloud Networking'!$1:$1048576,10,FALSE)</f>
        <v>0</v>
      </c>
      <c r="AB60">
        <f>VLOOKUP(C60,'SAP on Google Cloud'!$1:$1048576,10,FALSE)</f>
        <v>0</v>
      </c>
      <c r="AC60">
        <f>VLOOKUP(C60,'Google Cloud VMware Engine'!$1:$1048576,10,FALSE)</f>
        <v>0</v>
      </c>
      <c r="AD60">
        <f>VLOOKUP(C60,'Google Distributed Cloud'!$1:$1048576,10,FALSE)</f>
        <v>0</v>
      </c>
      <c r="AE60">
        <f>VLOOKUP(C60,'Cloud Security'!$1:$1048576,10,FALSE)</f>
        <v>0</v>
      </c>
      <c r="AF60">
        <f>VLOOKUP(C60,'Security Command Center'!$1:$1048576,10,FALSE)</f>
        <v>0</v>
      </c>
      <c r="AG60">
        <f>VLOOKUP(C60,'Security Operations'!$1:$1048576,10,FALSE)</f>
        <v>0</v>
      </c>
      <c r="AH60">
        <f>VLOOKUP(C60,'Google Threat Intelligence'!$1:$1048576,10,FALSE)</f>
        <v>0</v>
      </c>
      <c r="AI60">
        <f>VLOOKUP(C60,'Vertex AI Platform'!$1:$1048576,10,FALSE)</f>
        <v>0</v>
      </c>
      <c r="AJ60">
        <f>VLOOKUP(C60,'AI Applications'!$1:$1048576,10,FALSE)</f>
        <v>0</v>
      </c>
      <c r="AK60">
        <f>VLOOKUP(C60,'Gemini Enterprise'!$1:$1048576,10,FALSE)</f>
        <v>0</v>
      </c>
      <c r="AL60">
        <f>VLOOKUP(C60,'Customer Engagement Suite'!$1:$1048576,10,FALSE)</f>
        <v>0</v>
      </c>
      <c r="AM60">
        <f t="shared" si="0"/>
        <v>0</v>
      </c>
    </row>
    <row r="61" spans="1:39">
      <c r="A61" s="5" t="s">
        <v>251</v>
      </c>
      <c r="B61" s="5" t="s">
        <v>99</v>
      </c>
      <c r="C61" s="6" t="s">
        <v>252</v>
      </c>
      <c r="D61" s="7" t="s">
        <v>82</v>
      </c>
      <c r="E61" s="7" t="s">
        <v>83</v>
      </c>
      <c r="F61" s="7" t="s">
        <v>107</v>
      </c>
      <c r="G61" s="5" t="s">
        <v>102</v>
      </c>
      <c r="H61" s="5" t="s">
        <v>108</v>
      </c>
      <c r="I61" s="7" t="s">
        <v>78</v>
      </c>
      <c r="J61" s="7" t="s">
        <v>154</v>
      </c>
      <c r="K61" s="7" t="s">
        <v>110</v>
      </c>
      <c r="L61" s="6" t="s">
        <v>111</v>
      </c>
      <c r="M61" s="10" t="s">
        <v>228</v>
      </c>
      <c r="N61">
        <f>VLOOKUP(C61,BigQuery!$1:$1048576,10,FALSE)</f>
        <v>0</v>
      </c>
      <c r="O61">
        <f>VLOOKUP(C61,Looker!$1:$1048576,10,FALSE)</f>
        <v>0</v>
      </c>
      <c r="P61">
        <f>VLOOKUP(C61,Dataflow!$1:$1048576,10,FALSE)</f>
        <v>0</v>
      </c>
      <c r="Q61">
        <f>VLOOKUP(C61,Dataproc!$1:$1048576,10,FALSE)</f>
        <v>0</v>
      </c>
      <c r="R61">
        <f>VLOOKUP(C61,'Google Kubernetes Engine'!$1:$1048576,10,FALSE)</f>
        <v>0</v>
      </c>
      <c r="S61">
        <f>VLOOKUP(C61,'Apigee API Management'!$1:$1048576,10,FALSE)</f>
        <v>0</v>
      </c>
      <c r="T61">
        <f>VLOOKUP(C61,'Cloud Run'!$1:$1048576,10,FALSE)</f>
        <v>0</v>
      </c>
      <c r="U61">
        <f>VLOOKUP(C61,Workspace!$1:$1048576,10,FALSE)</f>
        <v>0</v>
      </c>
      <c r="V61">
        <f>VLOOKUP(C61,'Cloud SQL'!$1:$1048576,10,FALSE)</f>
        <v>0</v>
      </c>
      <c r="W61">
        <f>VLOOKUP(C61,'AlloyDB for PostgreSQL'!$1:$1048576,10,FALSE)</f>
        <v>0</v>
      </c>
      <c r="X61">
        <f>VLOOKUP(C61,Spanner!$1:$1048576,10,FALSE)</f>
        <v>0</v>
      </c>
      <c r="Y61">
        <f>VLOOKUP(C61,Oracle!$1:$1048576,10,FALSE)</f>
        <v>0</v>
      </c>
      <c r="Z61">
        <f>VLOOKUP(C61,'Google Compute Engine'!$1:$1048576,10,FALSE)</f>
        <v>0</v>
      </c>
      <c r="AA61">
        <f>VLOOKUP(C61,'Google Cloud Networking'!$1:$1048576,10,FALSE)</f>
        <v>0</v>
      </c>
      <c r="AB61">
        <f>VLOOKUP(C61,'SAP on Google Cloud'!$1:$1048576,10,FALSE)</f>
        <v>0</v>
      </c>
      <c r="AC61">
        <f>VLOOKUP(C61,'Google Cloud VMware Engine'!$1:$1048576,10,FALSE)</f>
        <v>0</v>
      </c>
      <c r="AD61">
        <f>VLOOKUP(C61,'Google Distributed Cloud'!$1:$1048576,10,FALSE)</f>
        <v>0</v>
      </c>
      <c r="AE61">
        <f>VLOOKUP(C61,'Cloud Security'!$1:$1048576,10,FALSE)</f>
        <v>0</v>
      </c>
      <c r="AF61">
        <f>VLOOKUP(C61,'Security Command Center'!$1:$1048576,10,FALSE)</f>
        <v>0</v>
      </c>
      <c r="AG61">
        <f>VLOOKUP(C61,'Security Operations'!$1:$1048576,10,FALSE)</f>
        <v>0</v>
      </c>
      <c r="AH61">
        <f>VLOOKUP(C61,'Google Threat Intelligence'!$1:$1048576,10,FALSE)</f>
        <v>0</v>
      </c>
      <c r="AI61">
        <f>VLOOKUP(C61,'Vertex AI Platform'!$1:$1048576,10,FALSE)</f>
        <v>0</v>
      </c>
      <c r="AJ61">
        <f>VLOOKUP(C61,'AI Applications'!$1:$1048576,10,FALSE)</f>
        <v>0</v>
      </c>
      <c r="AK61">
        <f>VLOOKUP(C61,'Gemini Enterprise'!$1:$1048576,10,FALSE)</f>
        <v>0</v>
      </c>
      <c r="AL61">
        <f>VLOOKUP(C61,'Customer Engagement Suite'!$1:$1048576,10,FALSE)</f>
        <v>0</v>
      </c>
      <c r="AM61">
        <f t="shared" si="0"/>
        <v>0</v>
      </c>
    </row>
    <row r="62" spans="1:39">
      <c r="A62" s="5" t="s">
        <v>253</v>
      </c>
      <c r="B62" s="5" t="s">
        <v>89</v>
      </c>
      <c r="C62" s="6" t="s">
        <v>254</v>
      </c>
      <c r="D62" s="7" t="s">
        <v>73</v>
      </c>
      <c r="E62" s="7" t="s">
        <v>74</v>
      </c>
      <c r="F62" s="7" t="s">
        <v>84</v>
      </c>
      <c r="G62" s="5" t="s">
        <v>76</v>
      </c>
      <c r="H62" s="5" t="s">
        <v>85</v>
      </c>
      <c r="I62" s="7" t="s">
        <v>78</v>
      </c>
      <c r="J62" s="7" t="s">
        <v>255</v>
      </c>
      <c r="K62" s="7" t="s">
        <v>87</v>
      </c>
      <c r="L62" s="6" t="s">
        <v>6</v>
      </c>
      <c r="M62" s="10"/>
      <c r="N62">
        <f>VLOOKUP(C62,BigQuery!$1:$1048576,10,FALSE)</f>
        <v>0</v>
      </c>
      <c r="O62">
        <f>VLOOKUP(C62,Looker!$1:$1048576,10,FALSE)</f>
        <v>0</v>
      </c>
      <c r="P62">
        <f>VLOOKUP(C62,Dataflow!$1:$1048576,10,FALSE)</f>
        <v>0</v>
      </c>
      <c r="Q62">
        <f>VLOOKUP(C62,Dataproc!$1:$1048576,10,FALSE)</f>
        <v>0</v>
      </c>
      <c r="R62">
        <f>VLOOKUP(C62,'Google Kubernetes Engine'!$1:$1048576,10,FALSE)</f>
        <v>0</v>
      </c>
      <c r="S62">
        <f>VLOOKUP(C62,'Apigee API Management'!$1:$1048576,10,FALSE)</f>
        <v>0</v>
      </c>
      <c r="T62">
        <f>VLOOKUP(C62,'Cloud Run'!$1:$1048576,10,FALSE)</f>
        <v>0</v>
      </c>
      <c r="U62">
        <f>VLOOKUP(C62,Workspace!$1:$1048576,10,FALSE)</f>
        <v>0</v>
      </c>
      <c r="V62">
        <f>VLOOKUP(C62,'Cloud SQL'!$1:$1048576,10,FALSE)</f>
        <v>0</v>
      </c>
      <c r="W62">
        <f>VLOOKUP(C62,'AlloyDB for PostgreSQL'!$1:$1048576,10,FALSE)</f>
        <v>0</v>
      </c>
      <c r="X62">
        <f>VLOOKUP(C62,Spanner!$1:$1048576,10,FALSE)</f>
        <v>0</v>
      </c>
      <c r="Y62">
        <f>VLOOKUP(C62,Oracle!$1:$1048576,10,FALSE)</f>
        <v>0</v>
      </c>
      <c r="Z62">
        <f>VLOOKUP(C62,'Google Compute Engine'!$1:$1048576,10,FALSE)</f>
        <v>0</v>
      </c>
      <c r="AA62">
        <f>VLOOKUP(C62,'Google Cloud Networking'!$1:$1048576,10,FALSE)</f>
        <v>0</v>
      </c>
      <c r="AB62">
        <f>VLOOKUP(C62,'SAP on Google Cloud'!$1:$1048576,10,FALSE)</f>
        <v>0</v>
      </c>
      <c r="AC62">
        <f>VLOOKUP(C62,'Google Cloud VMware Engine'!$1:$1048576,10,FALSE)</f>
        <v>0</v>
      </c>
      <c r="AD62">
        <f>VLOOKUP(C62,'Google Distributed Cloud'!$1:$1048576,10,FALSE)</f>
        <v>0</v>
      </c>
      <c r="AE62">
        <f>VLOOKUP(C62,'Cloud Security'!$1:$1048576,10,FALSE)</f>
        <v>0</v>
      </c>
      <c r="AF62">
        <f>VLOOKUP(C62,'Security Command Center'!$1:$1048576,10,FALSE)</f>
        <v>0</v>
      </c>
      <c r="AG62">
        <f>VLOOKUP(C62,'Security Operations'!$1:$1048576,10,FALSE)</f>
        <v>0</v>
      </c>
      <c r="AH62">
        <f>VLOOKUP(C62,'Google Threat Intelligence'!$1:$1048576,10,FALSE)</f>
        <v>0</v>
      </c>
      <c r="AI62">
        <f>VLOOKUP(C62,'Vertex AI Platform'!$1:$1048576,10,FALSE)</f>
        <v>0</v>
      </c>
      <c r="AJ62">
        <f>VLOOKUP(C62,'AI Applications'!$1:$1048576,10,FALSE)</f>
        <v>0</v>
      </c>
      <c r="AK62">
        <f>VLOOKUP(C62,'Gemini Enterprise'!$1:$1048576,10,FALSE)</f>
        <v>0</v>
      </c>
      <c r="AL62">
        <f>VLOOKUP(C62,'Customer Engagement Suite'!$1:$1048576,10,FALSE)</f>
        <v>0</v>
      </c>
      <c r="AM62">
        <f t="shared" si="0"/>
        <v>0</v>
      </c>
    </row>
    <row r="63" spans="1:39">
      <c r="A63" s="5" t="s">
        <v>256</v>
      </c>
      <c r="B63" s="5" t="s">
        <v>71</v>
      </c>
      <c r="C63" s="6" t="s">
        <v>257</v>
      </c>
      <c r="D63" s="7" t="s">
        <v>105</v>
      </c>
      <c r="E63" s="7" t="s">
        <v>106</v>
      </c>
      <c r="F63" s="7" t="s">
        <v>189</v>
      </c>
      <c r="G63" s="5" t="s">
        <v>76</v>
      </c>
      <c r="H63" s="5" t="s">
        <v>94</v>
      </c>
      <c r="I63" s="7" t="s">
        <v>78</v>
      </c>
      <c r="J63" s="7" t="s">
        <v>95</v>
      </c>
      <c r="K63" s="7" t="s">
        <v>96</v>
      </c>
      <c r="L63" s="6" t="s">
        <v>24</v>
      </c>
      <c r="M63" s="10"/>
      <c r="N63">
        <f>VLOOKUP(C63,BigQuery!$1:$1048576,10,FALSE)</f>
        <v>0</v>
      </c>
      <c r="O63">
        <f>VLOOKUP(C63,Looker!$1:$1048576,10,FALSE)</f>
        <v>0</v>
      </c>
      <c r="P63">
        <f>VLOOKUP(C63,Dataflow!$1:$1048576,10,FALSE)</f>
        <v>0</v>
      </c>
      <c r="Q63">
        <f>VLOOKUP(C63,Dataproc!$1:$1048576,10,FALSE)</f>
        <v>0</v>
      </c>
      <c r="R63">
        <f>VLOOKUP(C63,'Google Kubernetes Engine'!$1:$1048576,10,FALSE)</f>
        <v>0</v>
      </c>
      <c r="S63">
        <f>VLOOKUP(C63,'Apigee API Management'!$1:$1048576,10,FALSE)</f>
        <v>0</v>
      </c>
      <c r="T63">
        <f>VLOOKUP(C63,'Cloud Run'!$1:$1048576,10,FALSE)</f>
        <v>0</v>
      </c>
      <c r="U63">
        <f>VLOOKUP(C63,Workspace!$1:$1048576,10,FALSE)</f>
        <v>0</v>
      </c>
      <c r="V63">
        <f>VLOOKUP(C63,'Cloud SQL'!$1:$1048576,10,FALSE)</f>
        <v>0</v>
      </c>
      <c r="W63">
        <f>VLOOKUP(C63,'AlloyDB for PostgreSQL'!$1:$1048576,10,FALSE)</f>
        <v>0</v>
      </c>
      <c r="X63">
        <f>VLOOKUP(C63,Spanner!$1:$1048576,10,FALSE)</f>
        <v>0</v>
      </c>
      <c r="Y63">
        <f>VLOOKUP(C63,Oracle!$1:$1048576,10,FALSE)</f>
        <v>0</v>
      </c>
      <c r="Z63">
        <f>VLOOKUP(C63,'Google Compute Engine'!$1:$1048576,10,FALSE)</f>
        <v>0</v>
      </c>
      <c r="AA63">
        <f>VLOOKUP(C63,'Google Cloud Networking'!$1:$1048576,10,FALSE)</f>
        <v>0</v>
      </c>
      <c r="AB63">
        <f>VLOOKUP(C63,'SAP on Google Cloud'!$1:$1048576,10,FALSE)</f>
        <v>0</v>
      </c>
      <c r="AC63">
        <f>VLOOKUP(C63,'Google Cloud VMware Engine'!$1:$1048576,10,FALSE)</f>
        <v>0</v>
      </c>
      <c r="AD63">
        <f>VLOOKUP(C63,'Google Distributed Cloud'!$1:$1048576,10,FALSE)</f>
        <v>0</v>
      </c>
      <c r="AE63">
        <f>VLOOKUP(C63,'Cloud Security'!$1:$1048576,10,FALSE)</f>
        <v>0</v>
      </c>
      <c r="AF63">
        <f>VLOOKUP(C63,'Security Command Center'!$1:$1048576,10,FALSE)</f>
        <v>0</v>
      </c>
      <c r="AG63">
        <f>VLOOKUP(C63,'Security Operations'!$1:$1048576,10,FALSE)</f>
        <v>0</v>
      </c>
      <c r="AH63">
        <f>VLOOKUP(C63,'Google Threat Intelligence'!$1:$1048576,10,FALSE)</f>
        <v>0</v>
      </c>
      <c r="AI63">
        <f>VLOOKUP(C63,'Vertex AI Platform'!$1:$1048576,10,FALSE)</f>
        <v>0</v>
      </c>
      <c r="AJ63">
        <f>VLOOKUP(C63,'AI Applications'!$1:$1048576,10,FALSE)</f>
        <v>0</v>
      </c>
      <c r="AK63">
        <f>VLOOKUP(C63,'Gemini Enterprise'!$1:$1048576,10,FALSE)</f>
        <v>0</v>
      </c>
      <c r="AL63">
        <f>VLOOKUP(C63,'Customer Engagement Suite'!$1:$1048576,10,FALSE)</f>
        <v>0</v>
      </c>
      <c r="AM63">
        <f t="shared" si="0"/>
        <v>0</v>
      </c>
    </row>
    <row r="64" spans="1:39">
      <c r="A64" s="5" t="s">
        <v>258</v>
      </c>
      <c r="B64" s="5" t="s">
        <v>99</v>
      </c>
      <c r="C64" s="6" t="s">
        <v>26</v>
      </c>
      <c r="D64" s="7" t="s">
        <v>135</v>
      </c>
      <c r="E64" s="7" t="s">
        <v>116</v>
      </c>
      <c r="F64" s="7" t="s">
        <v>144</v>
      </c>
      <c r="G64" s="5" t="s">
        <v>102</v>
      </c>
      <c r="H64" s="5" t="s">
        <v>108</v>
      </c>
      <c r="I64" s="7" t="s">
        <v>78</v>
      </c>
      <c r="J64" s="7" t="s">
        <v>137</v>
      </c>
      <c r="K64" s="7" t="s">
        <v>110</v>
      </c>
      <c r="L64" s="6" t="s">
        <v>111</v>
      </c>
      <c r="M64" s="10" t="s">
        <v>145</v>
      </c>
      <c r="N64">
        <f>VLOOKUP(C64,BigQuery!$1:$1048576,10,FALSE)</f>
        <v>0</v>
      </c>
      <c r="O64">
        <f>VLOOKUP(C64,Looker!$1:$1048576,10,FALSE)</f>
        <v>0</v>
      </c>
      <c r="P64">
        <f>VLOOKUP(C64,Dataflow!$1:$1048576,10,FALSE)</f>
        <v>0</v>
      </c>
      <c r="Q64">
        <f>VLOOKUP(C64,Dataproc!$1:$1048576,10,FALSE)</f>
        <v>0</v>
      </c>
      <c r="R64">
        <f>VLOOKUP(C64,'Google Kubernetes Engine'!$1:$1048576,10,FALSE)</f>
        <v>0</v>
      </c>
      <c r="S64">
        <f>VLOOKUP(C64,'Apigee API Management'!$1:$1048576,10,FALSE)</f>
        <v>0</v>
      </c>
      <c r="T64">
        <f>VLOOKUP(C64,'Cloud Run'!$1:$1048576,10,FALSE)</f>
        <v>5</v>
      </c>
      <c r="U64">
        <f>VLOOKUP(C64,Workspace!$1:$1048576,10,FALSE)</f>
        <v>0</v>
      </c>
      <c r="V64">
        <f>VLOOKUP(C64,'Cloud SQL'!$1:$1048576,10,FALSE)</f>
        <v>5</v>
      </c>
      <c r="W64">
        <f>VLOOKUP(C64,'AlloyDB for PostgreSQL'!$1:$1048576,10,FALSE)</f>
        <v>0</v>
      </c>
      <c r="X64">
        <f>VLOOKUP(C64,Spanner!$1:$1048576,10,FALSE)</f>
        <v>0</v>
      </c>
      <c r="Y64">
        <f>VLOOKUP(C64,Oracle!$1:$1048576,10,FALSE)</f>
        <v>0</v>
      </c>
      <c r="Z64">
        <f>VLOOKUP(C64,'Google Compute Engine'!$1:$1048576,10,FALSE)</f>
        <v>0</v>
      </c>
      <c r="AA64">
        <f>VLOOKUP(C64,'Google Cloud Networking'!$1:$1048576,10,FALSE)</f>
        <v>0</v>
      </c>
      <c r="AB64">
        <f>VLOOKUP(C64,'SAP on Google Cloud'!$1:$1048576,10,FALSE)</f>
        <v>0</v>
      </c>
      <c r="AC64">
        <f>VLOOKUP(C64,'Google Cloud VMware Engine'!$1:$1048576,10,FALSE)</f>
        <v>0</v>
      </c>
      <c r="AD64">
        <f>VLOOKUP(C64,'Google Distributed Cloud'!$1:$1048576,10,FALSE)</f>
        <v>0</v>
      </c>
      <c r="AE64">
        <f>VLOOKUP(C64,'Cloud Security'!$1:$1048576,10,FALSE)</f>
        <v>0</v>
      </c>
      <c r="AF64">
        <f>VLOOKUP(C64,'Security Command Center'!$1:$1048576,10,FALSE)</f>
        <v>0</v>
      </c>
      <c r="AG64">
        <f>VLOOKUP(C64,'Security Operations'!$1:$1048576,10,FALSE)</f>
        <v>0</v>
      </c>
      <c r="AH64">
        <f>VLOOKUP(C64,'Google Threat Intelligence'!$1:$1048576,10,FALSE)</f>
        <v>0</v>
      </c>
      <c r="AI64">
        <f>VLOOKUP(C64,'Vertex AI Platform'!$1:$1048576,10,FALSE)</f>
        <v>0</v>
      </c>
      <c r="AJ64">
        <f>VLOOKUP(C64,'AI Applications'!$1:$1048576,10,FALSE)</f>
        <v>0</v>
      </c>
      <c r="AK64">
        <f>VLOOKUP(C64,'Gemini Enterprise'!$1:$1048576,10,FALSE)</f>
        <v>0</v>
      </c>
      <c r="AL64">
        <f>VLOOKUP(C64,'Customer Engagement Suite'!$1:$1048576,10,FALSE)</f>
        <v>0</v>
      </c>
      <c r="AM64">
        <f t="shared" si="0"/>
        <v>10</v>
      </c>
    </row>
    <row r="65" spans="1:39">
      <c r="A65" s="5" t="s">
        <v>259</v>
      </c>
      <c r="B65" s="5" t="s">
        <v>99</v>
      </c>
      <c r="C65" s="6" t="s">
        <v>260</v>
      </c>
      <c r="D65" s="7" t="s">
        <v>82</v>
      </c>
      <c r="E65" s="7" t="s">
        <v>83</v>
      </c>
      <c r="F65" s="7" t="s">
        <v>142</v>
      </c>
      <c r="G65" s="5" t="s">
        <v>102</v>
      </c>
      <c r="H65" s="5" t="s">
        <v>103</v>
      </c>
      <c r="I65" s="7" t="s">
        <v>78</v>
      </c>
      <c r="J65" s="7" t="s">
        <v>79</v>
      </c>
      <c r="K65" s="7" t="s">
        <v>87</v>
      </c>
      <c r="L65" s="6" t="s">
        <v>6</v>
      </c>
      <c r="M65" s="10"/>
      <c r="N65">
        <f>VLOOKUP(C65,BigQuery!$1:$1048576,10,FALSE)</f>
        <v>0</v>
      </c>
      <c r="O65">
        <f>VLOOKUP(C65,Looker!$1:$1048576,10,FALSE)</f>
        <v>0</v>
      </c>
      <c r="P65">
        <f>VLOOKUP(C65,Dataflow!$1:$1048576,10,FALSE)</f>
        <v>0</v>
      </c>
      <c r="Q65">
        <f>VLOOKUP(C65,Dataproc!$1:$1048576,10,FALSE)</f>
        <v>0</v>
      </c>
      <c r="R65">
        <f>VLOOKUP(C65,'Google Kubernetes Engine'!$1:$1048576,10,FALSE)</f>
        <v>0</v>
      </c>
      <c r="S65">
        <f>VLOOKUP(C65,'Apigee API Management'!$1:$1048576,10,FALSE)</f>
        <v>0</v>
      </c>
      <c r="T65">
        <f>VLOOKUP(C65,'Cloud Run'!$1:$1048576,10,FALSE)</f>
        <v>0</v>
      </c>
      <c r="U65">
        <f>VLOOKUP(C65,Workspace!$1:$1048576,10,FALSE)</f>
        <v>0</v>
      </c>
      <c r="V65">
        <f>VLOOKUP(C65,'Cloud SQL'!$1:$1048576,10,FALSE)</f>
        <v>0</v>
      </c>
      <c r="W65">
        <f>VLOOKUP(C65,'AlloyDB for PostgreSQL'!$1:$1048576,10,FALSE)</f>
        <v>0</v>
      </c>
      <c r="X65">
        <f>VLOOKUP(C65,Spanner!$1:$1048576,10,FALSE)</f>
        <v>0</v>
      </c>
      <c r="Y65">
        <f>VLOOKUP(C65,Oracle!$1:$1048576,10,FALSE)</f>
        <v>0</v>
      </c>
      <c r="Z65">
        <f>VLOOKUP(C65,'Google Compute Engine'!$1:$1048576,10,FALSE)</f>
        <v>0</v>
      </c>
      <c r="AA65">
        <f>VLOOKUP(C65,'Google Cloud Networking'!$1:$1048576,10,FALSE)</f>
        <v>0</v>
      </c>
      <c r="AB65">
        <f>VLOOKUP(C65,'SAP on Google Cloud'!$1:$1048576,10,FALSE)</f>
        <v>0</v>
      </c>
      <c r="AC65">
        <f>VLOOKUP(C65,'Google Cloud VMware Engine'!$1:$1048576,10,FALSE)</f>
        <v>0</v>
      </c>
      <c r="AD65">
        <f>VLOOKUP(C65,'Google Distributed Cloud'!$1:$1048576,10,FALSE)</f>
        <v>0</v>
      </c>
      <c r="AE65">
        <f>VLOOKUP(C65,'Cloud Security'!$1:$1048576,10,FALSE)</f>
        <v>0</v>
      </c>
      <c r="AF65">
        <f>VLOOKUP(C65,'Security Command Center'!$1:$1048576,10,FALSE)</f>
        <v>0</v>
      </c>
      <c r="AG65">
        <f>VLOOKUP(C65,'Security Operations'!$1:$1048576,10,FALSE)</f>
        <v>0</v>
      </c>
      <c r="AH65">
        <f>VLOOKUP(C65,'Google Threat Intelligence'!$1:$1048576,10,FALSE)</f>
        <v>0</v>
      </c>
      <c r="AI65">
        <f>VLOOKUP(C65,'Vertex AI Platform'!$1:$1048576,10,FALSE)</f>
        <v>0</v>
      </c>
      <c r="AJ65">
        <f>VLOOKUP(C65,'AI Applications'!$1:$1048576,10,FALSE)</f>
        <v>0</v>
      </c>
      <c r="AK65">
        <f>VLOOKUP(C65,'Gemini Enterprise'!$1:$1048576,10,FALSE)</f>
        <v>0</v>
      </c>
      <c r="AL65">
        <f>VLOOKUP(C65,'Customer Engagement Suite'!$1:$1048576,10,FALSE)</f>
        <v>0</v>
      </c>
      <c r="AM65">
        <f t="shared" si="0"/>
        <v>0</v>
      </c>
    </row>
    <row r="66" spans="1:39">
      <c r="A66" s="5" t="s">
        <v>261</v>
      </c>
      <c r="B66" s="5" t="s">
        <v>71</v>
      </c>
      <c r="C66" s="13" t="s">
        <v>218</v>
      </c>
      <c r="D66" s="7" t="s">
        <v>119</v>
      </c>
      <c r="E66" s="7" t="s">
        <v>120</v>
      </c>
      <c r="F66" s="7" t="s">
        <v>121</v>
      </c>
      <c r="G66" s="5" t="s">
        <v>76</v>
      </c>
      <c r="H66" s="5" t="s">
        <v>77</v>
      </c>
      <c r="I66" s="7" t="s">
        <v>78</v>
      </c>
      <c r="J66" s="7" t="s">
        <v>206</v>
      </c>
      <c r="K66" s="7" t="s">
        <v>80</v>
      </c>
      <c r="L66" s="6" t="s">
        <v>218</v>
      </c>
      <c r="M66" s="10"/>
      <c r="N66">
        <f>VLOOKUP(C66,BigQuery!$1:$1048576,10,FALSE)</f>
        <v>0</v>
      </c>
      <c r="O66">
        <f>VLOOKUP(C66,Looker!$1:$1048576,10,FALSE)</f>
        <v>0</v>
      </c>
      <c r="P66">
        <f>VLOOKUP(C66,Dataflow!$1:$1048576,10,FALSE)</f>
        <v>0</v>
      </c>
      <c r="Q66">
        <f>VLOOKUP(C66,Dataproc!$1:$1048576,10,FALSE)</f>
        <v>0</v>
      </c>
      <c r="R66">
        <f>VLOOKUP(C66,'Google Kubernetes Engine'!$1:$1048576,10,FALSE)</f>
        <v>0</v>
      </c>
      <c r="S66">
        <f>VLOOKUP(C66,'Apigee API Management'!$1:$1048576,10,FALSE)</f>
        <v>0</v>
      </c>
      <c r="T66">
        <f>VLOOKUP(C66,'Cloud Run'!$1:$1048576,10,FALSE)</f>
        <v>0</v>
      </c>
      <c r="U66">
        <f>VLOOKUP(C66,Workspace!$1:$1048576,10,FALSE)</f>
        <v>0</v>
      </c>
      <c r="V66">
        <f>VLOOKUP(C66,'Cloud SQL'!$1:$1048576,10,FALSE)</f>
        <v>0</v>
      </c>
      <c r="W66">
        <f>VLOOKUP(C66,'AlloyDB for PostgreSQL'!$1:$1048576,10,FALSE)</f>
        <v>0</v>
      </c>
      <c r="X66">
        <f>VLOOKUP(C66,Spanner!$1:$1048576,10,FALSE)</f>
        <v>0</v>
      </c>
      <c r="Y66">
        <f>VLOOKUP(C66,Oracle!$1:$1048576,10,FALSE)</f>
        <v>0</v>
      </c>
      <c r="Z66">
        <f>VLOOKUP(C66,'Google Compute Engine'!$1:$1048576,10,FALSE)</f>
        <v>0</v>
      </c>
      <c r="AA66">
        <f>VLOOKUP(C66,'Google Cloud Networking'!$1:$1048576,10,FALSE)</f>
        <v>0</v>
      </c>
      <c r="AB66">
        <f>VLOOKUP(C66,'SAP on Google Cloud'!$1:$1048576,10,FALSE)</f>
        <v>0</v>
      </c>
      <c r="AC66">
        <f>VLOOKUP(C66,'Google Cloud VMware Engine'!$1:$1048576,10,FALSE)</f>
        <v>0</v>
      </c>
      <c r="AD66">
        <f>VLOOKUP(C66,'Google Distributed Cloud'!$1:$1048576,10,FALSE)</f>
        <v>0</v>
      </c>
      <c r="AE66">
        <f>VLOOKUP(C66,'Cloud Security'!$1:$1048576,10,FALSE)</f>
        <v>0</v>
      </c>
      <c r="AF66">
        <f>VLOOKUP(C66,'Security Command Center'!$1:$1048576,10,FALSE)</f>
        <v>0</v>
      </c>
      <c r="AG66">
        <f>VLOOKUP(C66,'Security Operations'!$1:$1048576,10,FALSE)</f>
        <v>0</v>
      </c>
      <c r="AH66">
        <f>VLOOKUP(C66,'Google Threat Intelligence'!$1:$1048576,10,FALSE)</f>
        <v>0</v>
      </c>
      <c r="AI66">
        <f>VLOOKUP(C66,'Vertex AI Platform'!$1:$1048576,10,FALSE)</f>
        <v>0</v>
      </c>
      <c r="AJ66">
        <f>VLOOKUP(C66,'AI Applications'!$1:$1048576,10,FALSE)</f>
        <v>0</v>
      </c>
      <c r="AK66">
        <f>VLOOKUP(C66,'Gemini Enterprise'!$1:$1048576,10,FALSE)</f>
        <v>0</v>
      </c>
      <c r="AL66">
        <f>VLOOKUP(C66,'Customer Engagement Suite'!$1:$1048576,10,FALSE)</f>
        <v>0</v>
      </c>
      <c r="AM66">
        <f t="shared" ref="AM66:AM87" si="1">SUM(N66:AL66)</f>
        <v>0</v>
      </c>
    </row>
    <row r="67" spans="1:39">
      <c r="A67" s="5" t="s">
        <v>262</v>
      </c>
      <c r="B67" s="5" t="s">
        <v>89</v>
      </c>
      <c r="C67" s="6" t="s">
        <v>16</v>
      </c>
      <c r="D67" s="7" t="s">
        <v>73</v>
      </c>
      <c r="E67" s="7" t="s">
        <v>74</v>
      </c>
      <c r="F67" s="7" t="s">
        <v>189</v>
      </c>
      <c r="G67" s="5" t="s">
        <v>102</v>
      </c>
      <c r="H67" s="5" t="s">
        <v>122</v>
      </c>
      <c r="I67" s="7" t="s">
        <v>78</v>
      </c>
      <c r="J67" s="7" t="s">
        <v>95</v>
      </c>
      <c r="K67" s="7" t="s">
        <v>96</v>
      </c>
      <c r="L67" s="6" t="s">
        <v>24</v>
      </c>
      <c r="M67" s="10"/>
      <c r="N67">
        <f>VLOOKUP(C67,BigQuery!$1:$1048576,10,FALSE)</f>
        <v>10</v>
      </c>
      <c r="O67">
        <f>VLOOKUP(C67,Looker!$1:$1048576,10,FALSE)</f>
        <v>0</v>
      </c>
      <c r="P67">
        <f>VLOOKUP(C67,Dataflow!$1:$1048576,10,FALSE)</f>
        <v>0</v>
      </c>
      <c r="Q67">
        <f>VLOOKUP(C67,Dataproc!$1:$1048576,10,FALSE)</f>
        <v>0</v>
      </c>
      <c r="R67">
        <f>VLOOKUP(C67,'Google Kubernetes Engine'!$1:$1048576,10,FALSE)</f>
        <v>0</v>
      </c>
      <c r="S67">
        <f>VLOOKUP(C67,'Apigee API Management'!$1:$1048576,10,FALSE)</f>
        <v>0</v>
      </c>
      <c r="T67">
        <f>VLOOKUP(C67,'Cloud Run'!$1:$1048576,10,FALSE)</f>
        <v>0</v>
      </c>
      <c r="U67">
        <f>VLOOKUP(C67,Workspace!$1:$1048576,10,FALSE)</f>
        <v>0</v>
      </c>
      <c r="V67">
        <f>VLOOKUP(C67,'Cloud SQL'!$1:$1048576,10,FALSE)</f>
        <v>0</v>
      </c>
      <c r="W67">
        <f>VLOOKUP(C67,'AlloyDB for PostgreSQL'!$1:$1048576,10,FALSE)</f>
        <v>0</v>
      </c>
      <c r="X67">
        <f>VLOOKUP(C67,Spanner!$1:$1048576,10,FALSE)</f>
        <v>0</v>
      </c>
      <c r="Y67">
        <f>VLOOKUP(C67,Oracle!$1:$1048576,10,FALSE)</f>
        <v>0</v>
      </c>
      <c r="Z67">
        <f>VLOOKUP(C67,'Google Compute Engine'!$1:$1048576,10,FALSE)</f>
        <v>0</v>
      </c>
      <c r="AA67">
        <f>VLOOKUP(C67,'Google Cloud Networking'!$1:$1048576,10,FALSE)</f>
        <v>0</v>
      </c>
      <c r="AB67">
        <f>VLOOKUP(C67,'SAP on Google Cloud'!$1:$1048576,10,FALSE)</f>
        <v>0</v>
      </c>
      <c r="AC67">
        <f>VLOOKUP(C67,'Google Cloud VMware Engine'!$1:$1048576,10,FALSE)</f>
        <v>0</v>
      </c>
      <c r="AD67">
        <f>VLOOKUP(C67,'Google Distributed Cloud'!$1:$1048576,10,FALSE)</f>
        <v>0</v>
      </c>
      <c r="AE67">
        <f>VLOOKUP(C67,'Cloud Security'!$1:$1048576,10,FALSE)</f>
        <v>0</v>
      </c>
      <c r="AF67">
        <f>VLOOKUP(C67,'Security Command Center'!$1:$1048576,10,FALSE)</f>
        <v>0</v>
      </c>
      <c r="AG67">
        <f>VLOOKUP(C67,'Security Operations'!$1:$1048576,10,FALSE)</f>
        <v>0</v>
      </c>
      <c r="AH67">
        <f>VLOOKUP(C67,'Google Threat Intelligence'!$1:$1048576,10,FALSE)</f>
        <v>0</v>
      </c>
      <c r="AI67">
        <f>VLOOKUP(C67,'Vertex AI Platform'!$1:$1048576,10,FALSE)</f>
        <v>15</v>
      </c>
      <c r="AJ67">
        <f>VLOOKUP(C67,'AI Applications'!$1:$1048576,10,FALSE)</f>
        <v>10</v>
      </c>
      <c r="AK67">
        <f>VLOOKUP(C67,'Gemini Enterprise'!$1:$1048576,10,FALSE)</f>
        <v>10</v>
      </c>
      <c r="AL67">
        <f>VLOOKUP(C67,'Customer Engagement Suite'!$1:$1048576,10,FALSE)</f>
        <v>10</v>
      </c>
      <c r="AM67">
        <f t="shared" si="1"/>
        <v>55</v>
      </c>
    </row>
    <row r="68" spans="1:39">
      <c r="A68" s="5" t="s">
        <v>263</v>
      </c>
      <c r="B68" s="5" t="s">
        <v>99</v>
      </c>
      <c r="C68" s="6" t="s">
        <v>21</v>
      </c>
      <c r="D68" s="7" t="s">
        <v>73</v>
      </c>
      <c r="E68" s="7" t="s">
        <v>74</v>
      </c>
      <c r="F68" s="7" t="s">
        <v>101</v>
      </c>
      <c r="G68" s="5" t="s">
        <v>102</v>
      </c>
      <c r="H68" s="5" t="s">
        <v>103</v>
      </c>
      <c r="I68" s="7" t="s">
        <v>78</v>
      </c>
      <c r="J68" s="7" t="s">
        <v>86</v>
      </c>
      <c r="K68" s="7" t="s">
        <v>87</v>
      </c>
      <c r="L68" s="6" t="s">
        <v>6</v>
      </c>
      <c r="M68" s="10"/>
      <c r="N68">
        <f>VLOOKUP(C68,BigQuery!$1:$1048576,10,FALSE)</f>
        <v>9</v>
      </c>
      <c r="O68">
        <f>VLOOKUP(C68,Looker!$1:$1048576,10,FALSE)</f>
        <v>0</v>
      </c>
      <c r="P68">
        <f>VLOOKUP(C68,Dataflow!$1:$1048576,10,FALSE)</f>
        <v>19</v>
      </c>
      <c r="Q68">
        <f>VLOOKUP(C68,Dataproc!$1:$1048576,10,FALSE)</f>
        <v>0</v>
      </c>
      <c r="R68">
        <f>VLOOKUP(C68,'Google Kubernetes Engine'!$1:$1048576,10,FALSE)</f>
        <v>0</v>
      </c>
      <c r="S68">
        <f>VLOOKUP(C68,'Apigee API Management'!$1:$1048576,10,FALSE)</f>
        <v>0</v>
      </c>
      <c r="T68">
        <f>VLOOKUP(C68,'Cloud Run'!$1:$1048576,10,FALSE)</f>
        <v>0</v>
      </c>
      <c r="U68">
        <f>VLOOKUP(C68,Workspace!$1:$1048576,10,FALSE)</f>
        <v>0</v>
      </c>
      <c r="V68">
        <f>VLOOKUP(C68,'Cloud SQL'!$1:$1048576,10,FALSE)</f>
        <v>0</v>
      </c>
      <c r="W68">
        <f>VLOOKUP(C68,'AlloyDB for PostgreSQL'!$1:$1048576,10,FALSE)</f>
        <v>0</v>
      </c>
      <c r="X68">
        <f>VLOOKUP(C68,Spanner!$1:$1048576,10,FALSE)</f>
        <v>0</v>
      </c>
      <c r="Y68">
        <f>VLOOKUP(C68,Oracle!$1:$1048576,10,FALSE)</f>
        <v>0</v>
      </c>
      <c r="Z68">
        <f>VLOOKUP(C68,'Google Compute Engine'!$1:$1048576,10,FALSE)</f>
        <v>0</v>
      </c>
      <c r="AA68">
        <f>VLOOKUP(C68,'Google Cloud Networking'!$1:$1048576,10,FALSE)</f>
        <v>0</v>
      </c>
      <c r="AB68">
        <f>VLOOKUP(C68,'SAP on Google Cloud'!$1:$1048576,10,FALSE)</f>
        <v>0</v>
      </c>
      <c r="AC68">
        <f>VLOOKUP(C68,'Google Cloud VMware Engine'!$1:$1048576,10,FALSE)</f>
        <v>0</v>
      </c>
      <c r="AD68">
        <f>VLOOKUP(C68,'Google Distributed Cloud'!$1:$1048576,10,FALSE)</f>
        <v>0</v>
      </c>
      <c r="AE68">
        <f>VLOOKUP(C68,'Cloud Security'!$1:$1048576,10,FALSE)</f>
        <v>0</v>
      </c>
      <c r="AF68">
        <f>VLOOKUP(C68,'Security Command Center'!$1:$1048576,10,FALSE)</f>
        <v>0</v>
      </c>
      <c r="AG68">
        <f>VLOOKUP(C68,'Security Operations'!$1:$1048576,10,FALSE)</f>
        <v>0</v>
      </c>
      <c r="AH68">
        <f>VLOOKUP(C68,'Google Threat Intelligence'!$1:$1048576,10,FALSE)</f>
        <v>0</v>
      </c>
      <c r="AI68">
        <f>VLOOKUP(C68,'Vertex AI Platform'!$1:$1048576,10,FALSE)</f>
        <v>0</v>
      </c>
      <c r="AJ68">
        <f>VLOOKUP(C68,'AI Applications'!$1:$1048576,10,FALSE)</f>
        <v>0</v>
      </c>
      <c r="AK68">
        <f>VLOOKUP(C68,'Gemini Enterprise'!$1:$1048576,10,FALSE)</f>
        <v>0</v>
      </c>
      <c r="AL68">
        <f>VLOOKUP(C68,'Customer Engagement Suite'!$1:$1048576,10,FALSE)</f>
        <v>0</v>
      </c>
      <c r="AM68">
        <f t="shared" si="1"/>
        <v>28</v>
      </c>
    </row>
    <row r="69" spans="1:39">
      <c r="A69" s="5" t="s">
        <v>264</v>
      </c>
      <c r="B69" s="5" t="s">
        <v>99</v>
      </c>
      <c r="C69" s="6" t="s">
        <v>265</v>
      </c>
      <c r="D69" s="7" t="s">
        <v>82</v>
      </c>
      <c r="E69" s="7" t="s">
        <v>83</v>
      </c>
      <c r="F69" s="7" t="s">
        <v>107</v>
      </c>
      <c r="G69" s="5" t="s">
        <v>102</v>
      </c>
      <c r="H69" s="5" t="s">
        <v>108</v>
      </c>
      <c r="I69" s="7" t="s">
        <v>78</v>
      </c>
      <c r="J69" s="7" t="s">
        <v>154</v>
      </c>
      <c r="K69" s="7" t="s">
        <v>110</v>
      </c>
      <c r="L69" s="6" t="s">
        <v>111</v>
      </c>
      <c r="M69" s="10" t="s">
        <v>266</v>
      </c>
      <c r="N69">
        <f>VLOOKUP(C69,BigQuery!$1:$1048576,10,FALSE)</f>
        <v>0</v>
      </c>
      <c r="O69">
        <f>VLOOKUP(C69,Looker!$1:$1048576,10,FALSE)</f>
        <v>0</v>
      </c>
      <c r="P69">
        <f>VLOOKUP(C69,Dataflow!$1:$1048576,10,FALSE)</f>
        <v>0</v>
      </c>
      <c r="Q69">
        <f>VLOOKUP(C69,Dataproc!$1:$1048576,10,FALSE)</f>
        <v>0</v>
      </c>
      <c r="R69">
        <f>VLOOKUP(C69,'Google Kubernetes Engine'!$1:$1048576,10,FALSE)</f>
        <v>0</v>
      </c>
      <c r="S69">
        <f>VLOOKUP(C69,'Apigee API Management'!$1:$1048576,10,FALSE)</f>
        <v>0</v>
      </c>
      <c r="T69">
        <f>VLOOKUP(C69,'Cloud Run'!$1:$1048576,10,FALSE)</f>
        <v>0</v>
      </c>
      <c r="U69">
        <f>VLOOKUP(C69,Workspace!$1:$1048576,10,FALSE)</f>
        <v>0</v>
      </c>
      <c r="V69">
        <f>VLOOKUP(C69,'Cloud SQL'!$1:$1048576,10,FALSE)</f>
        <v>0</v>
      </c>
      <c r="W69">
        <f>VLOOKUP(C69,'AlloyDB for PostgreSQL'!$1:$1048576,10,FALSE)</f>
        <v>0</v>
      </c>
      <c r="X69">
        <f>VLOOKUP(C69,Spanner!$1:$1048576,10,FALSE)</f>
        <v>0</v>
      </c>
      <c r="Y69">
        <f>VLOOKUP(C69,Oracle!$1:$1048576,10,FALSE)</f>
        <v>0</v>
      </c>
      <c r="Z69">
        <f>VLOOKUP(C69,'Google Compute Engine'!$1:$1048576,10,FALSE)</f>
        <v>0</v>
      </c>
      <c r="AA69">
        <f>VLOOKUP(C69,'Google Cloud Networking'!$1:$1048576,10,FALSE)</f>
        <v>0</v>
      </c>
      <c r="AB69">
        <f>VLOOKUP(C69,'SAP on Google Cloud'!$1:$1048576,10,FALSE)</f>
        <v>0</v>
      </c>
      <c r="AC69">
        <f>VLOOKUP(C69,'Google Cloud VMware Engine'!$1:$1048576,10,FALSE)</f>
        <v>0</v>
      </c>
      <c r="AD69">
        <f>VLOOKUP(C69,'Google Distributed Cloud'!$1:$1048576,10,FALSE)</f>
        <v>0</v>
      </c>
      <c r="AE69">
        <f>VLOOKUP(C69,'Cloud Security'!$1:$1048576,10,FALSE)</f>
        <v>0</v>
      </c>
      <c r="AF69">
        <f>VLOOKUP(C69,'Security Command Center'!$1:$1048576,10,FALSE)</f>
        <v>0</v>
      </c>
      <c r="AG69">
        <f>VLOOKUP(C69,'Security Operations'!$1:$1048576,10,FALSE)</f>
        <v>0</v>
      </c>
      <c r="AH69">
        <f>VLOOKUP(C69,'Google Threat Intelligence'!$1:$1048576,10,FALSE)</f>
        <v>0</v>
      </c>
      <c r="AI69">
        <f>VLOOKUP(C69,'Vertex AI Platform'!$1:$1048576,10,FALSE)</f>
        <v>0</v>
      </c>
      <c r="AJ69">
        <f>VLOOKUP(C69,'AI Applications'!$1:$1048576,10,FALSE)</f>
        <v>0</v>
      </c>
      <c r="AK69">
        <f>VLOOKUP(C69,'Gemini Enterprise'!$1:$1048576,10,FALSE)</f>
        <v>0</v>
      </c>
      <c r="AL69">
        <f>VLOOKUP(C69,'Customer Engagement Suite'!$1:$1048576,10,FALSE)</f>
        <v>0</v>
      </c>
      <c r="AM69">
        <f t="shared" si="1"/>
        <v>0</v>
      </c>
    </row>
    <row r="70" spans="1:39">
      <c r="A70" s="5" t="s">
        <v>267</v>
      </c>
      <c r="B70" s="5" t="s">
        <v>99</v>
      </c>
      <c r="C70" s="6" t="s">
        <v>268</v>
      </c>
      <c r="D70" s="7" t="s">
        <v>82</v>
      </c>
      <c r="E70" s="7" t="s">
        <v>83</v>
      </c>
      <c r="F70" s="7" t="s">
        <v>170</v>
      </c>
      <c r="G70" s="5" t="s">
        <v>102</v>
      </c>
      <c r="H70" s="5" t="s">
        <v>103</v>
      </c>
      <c r="I70" s="7" t="s">
        <v>78</v>
      </c>
      <c r="J70" s="7" t="s">
        <v>79</v>
      </c>
      <c r="K70" s="7" t="s">
        <v>87</v>
      </c>
      <c r="L70" s="6" t="s">
        <v>6</v>
      </c>
      <c r="M70" s="10"/>
      <c r="N70">
        <f>VLOOKUP(C70,BigQuery!$1:$1048576,10,FALSE)</f>
        <v>0</v>
      </c>
      <c r="O70">
        <f>VLOOKUP(C70,Looker!$1:$1048576,10,FALSE)</f>
        <v>0</v>
      </c>
      <c r="P70">
        <f>VLOOKUP(C70,Dataflow!$1:$1048576,10,FALSE)</f>
        <v>0</v>
      </c>
      <c r="Q70">
        <f>VLOOKUP(C70,Dataproc!$1:$1048576,10,FALSE)</f>
        <v>0</v>
      </c>
      <c r="R70">
        <f>VLOOKUP(C70,'Google Kubernetes Engine'!$1:$1048576,10,FALSE)</f>
        <v>0</v>
      </c>
      <c r="S70">
        <f>VLOOKUP(C70,'Apigee API Management'!$1:$1048576,10,FALSE)</f>
        <v>0</v>
      </c>
      <c r="T70">
        <f>VLOOKUP(C70,'Cloud Run'!$1:$1048576,10,FALSE)</f>
        <v>0</v>
      </c>
      <c r="U70">
        <f>VLOOKUP(C70,Workspace!$1:$1048576,10,FALSE)</f>
        <v>0</v>
      </c>
      <c r="V70">
        <f>VLOOKUP(C70,'Cloud SQL'!$1:$1048576,10,FALSE)</f>
        <v>0</v>
      </c>
      <c r="W70">
        <f>VLOOKUP(C70,'AlloyDB for PostgreSQL'!$1:$1048576,10,FALSE)</f>
        <v>0</v>
      </c>
      <c r="X70">
        <f>VLOOKUP(C70,Spanner!$1:$1048576,10,FALSE)</f>
        <v>0</v>
      </c>
      <c r="Y70">
        <f>VLOOKUP(C70,Oracle!$1:$1048576,10,FALSE)</f>
        <v>0</v>
      </c>
      <c r="Z70">
        <f>VLOOKUP(C70,'Google Compute Engine'!$1:$1048576,10,FALSE)</f>
        <v>0</v>
      </c>
      <c r="AA70">
        <f>VLOOKUP(C70,'Google Cloud Networking'!$1:$1048576,10,FALSE)</f>
        <v>0</v>
      </c>
      <c r="AB70">
        <f>VLOOKUP(C70,'SAP on Google Cloud'!$1:$1048576,10,FALSE)</f>
        <v>0</v>
      </c>
      <c r="AC70">
        <f>VLOOKUP(C70,'Google Cloud VMware Engine'!$1:$1048576,10,FALSE)</f>
        <v>0</v>
      </c>
      <c r="AD70">
        <f>VLOOKUP(C70,'Google Distributed Cloud'!$1:$1048576,10,FALSE)</f>
        <v>0</v>
      </c>
      <c r="AE70">
        <f>VLOOKUP(C70,'Cloud Security'!$1:$1048576,10,FALSE)</f>
        <v>0</v>
      </c>
      <c r="AF70">
        <f>VLOOKUP(C70,'Security Command Center'!$1:$1048576,10,FALSE)</f>
        <v>0</v>
      </c>
      <c r="AG70">
        <f>VLOOKUP(C70,'Security Operations'!$1:$1048576,10,FALSE)</f>
        <v>0</v>
      </c>
      <c r="AH70">
        <f>VLOOKUP(C70,'Google Threat Intelligence'!$1:$1048576,10,FALSE)</f>
        <v>0</v>
      </c>
      <c r="AI70">
        <f>VLOOKUP(C70,'Vertex AI Platform'!$1:$1048576,10,FALSE)</f>
        <v>0</v>
      </c>
      <c r="AJ70">
        <f>VLOOKUP(C70,'AI Applications'!$1:$1048576,10,FALSE)</f>
        <v>0</v>
      </c>
      <c r="AK70">
        <f>VLOOKUP(C70,'Gemini Enterprise'!$1:$1048576,10,FALSE)</f>
        <v>0</v>
      </c>
      <c r="AL70">
        <f>VLOOKUP(C70,'Customer Engagement Suite'!$1:$1048576,10,FALSE)</f>
        <v>0</v>
      </c>
      <c r="AM70">
        <f t="shared" si="1"/>
        <v>0</v>
      </c>
    </row>
    <row r="71" spans="1:39">
      <c r="A71" s="5" t="s">
        <v>269</v>
      </c>
      <c r="B71" s="5" t="s">
        <v>89</v>
      </c>
      <c r="C71" s="6" t="s">
        <v>270</v>
      </c>
      <c r="D71" s="7" t="s">
        <v>105</v>
      </c>
      <c r="E71" s="7" t="s">
        <v>106</v>
      </c>
      <c r="F71" s="7" t="s">
        <v>121</v>
      </c>
      <c r="G71" s="5" t="s">
        <v>76</v>
      </c>
      <c r="H71" s="5" t="s">
        <v>94</v>
      </c>
      <c r="I71" s="7" t="s">
        <v>78</v>
      </c>
      <c r="J71" s="7" t="s">
        <v>95</v>
      </c>
      <c r="K71" s="7" t="s">
        <v>96</v>
      </c>
      <c r="L71" s="6" t="s">
        <v>24</v>
      </c>
      <c r="M71" s="10"/>
      <c r="N71">
        <f>VLOOKUP(C71,BigQuery!$1:$1048576,10,FALSE)</f>
        <v>0</v>
      </c>
      <c r="O71">
        <f>VLOOKUP(C71,Looker!$1:$1048576,10,FALSE)</f>
        <v>0</v>
      </c>
      <c r="P71">
        <f>VLOOKUP(C71,Dataflow!$1:$1048576,10,FALSE)</f>
        <v>0</v>
      </c>
      <c r="Q71">
        <f>VLOOKUP(C71,Dataproc!$1:$1048576,10,FALSE)</f>
        <v>0</v>
      </c>
      <c r="R71">
        <f>VLOOKUP(C71,'Google Kubernetes Engine'!$1:$1048576,10,FALSE)</f>
        <v>0</v>
      </c>
      <c r="S71">
        <f>VLOOKUP(C71,'Apigee API Management'!$1:$1048576,10,FALSE)</f>
        <v>0</v>
      </c>
      <c r="T71">
        <f>VLOOKUP(C71,'Cloud Run'!$1:$1048576,10,FALSE)</f>
        <v>0</v>
      </c>
      <c r="U71">
        <f>VLOOKUP(C71,Workspace!$1:$1048576,10,FALSE)</f>
        <v>0</v>
      </c>
      <c r="V71">
        <f>VLOOKUP(C71,'Cloud SQL'!$1:$1048576,10,FALSE)</f>
        <v>0</v>
      </c>
      <c r="W71">
        <f>VLOOKUP(C71,'AlloyDB for PostgreSQL'!$1:$1048576,10,FALSE)</f>
        <v>0</v>
      </c>
      <c r="X71">
        <f>VLOOKUP(C71,Spanner!$1:$1048576,10,FALSE)</f>
        <v>0</v>
      </c>
      <c r="Y71">
        <f>VLOOKUP(C71,Oracle!$1:$1048576,10,FALSE)</f>
        <v>0</v>
      </c>
      <c r="Z71">
        <f>VLOOKUP(C71,'Google Compute Engine'!$1:$1048576,10,FALSE)</f>
        <v>0</v>
      </c>
      <c r="AA71">
        <f>VLOOKUP(C71,'Google Cloud Networking'!$1:$1048576,10,FALSE)</f>
        <v>0</v>
      </c>
      <c r="AB71">
        <f>VLOOKUP(C71,'SAP on Google Cloud'!$1:$1048576,10,FALSE)</f>
        <v>0</v>
      </c>
      <c r="AC71">
        <f>VLOOKUP(C71,'Google Cloud VMware Engine'!$1:$1048576,10,FALSE)</f>
        <v>0</v>
      </c>
      <c r="AD71">
        <f>VLOOKUP(C71,'Google Distributed Cloud'!$1:$1048576,10,FALSE)</f>
        <v>0</v>
      </c>
      <c r="AE71">
        <f>VLOOKUP(C71,'Cloud Security'!$1:$1048576,10,FALSE)</f>
        <v>0</v>
      </c>
      <c r="AF71">
        <f>VLOOKUP(C71,'Security Command Center'!$1:$1048576,10,FALSE)</f>
        <v>0</v>
      </c>
      <c r="AG71">
        <f>VLOOKUP(C71,'Security Operations'!$1:$1048576,10,FALSE)</f>
        <v>0</v>
      </c>
      <c r="AH71">
        <f>VLOOKUP(C71,'Google Threat Intelligence'!$1:$1048576,10,FALSE)</f>
        <v>0</v>
      </c>
      <c r="AI71">
        <f>VLOOKUP(C71,'Vertex AI Platform'!$1:$1048576,10,FALSE)</f>
        <v>0</v>
      </c>
      <c r="AJ71">
        <f>VLOOKUP(C71,'AI Applications'!$1:$1048576,10,FALSE)</f>
        <v>0</v>
      </c>
      <c r="AK71">
        <f>VLOOKUP(C71,'Gemini Enterprise'!$1:$1048576,10,FALSE)</f>
        <v>0</v>
      </c>
      <c r="AL71">
        <f>VLOOKUP(C71,'Customer Engagement Suite'!$1:$1048576,10,FALSE)</f>
        <v>0</v>
      </c>
      <c r="AM71">
        <f t="shared" si="1"/>
        <v>0</v>
      </c>
    </row>
    <row r="72" spans="1:39">
      <c r="A72" s="5" t="s">
        <v>271</v>
      </c>
      <c r="B72" s="5" t="s">
        <v>89</v>
      </c>
      <c r="C72" s="6" t="s">
        <v>10</v>
      </c>
      <c r="D72" s="7" t="s">
        <v>105</v>
      </c>
      <c r="E72" s="7" t="s">
        <v>106</v>
      </c>
      <c r="F72" s="7" t="s">
        <v>107</v>
      </c>
      <c r="G72" s="5" t="s">
        <v>76</v>
      </c>
      <c r="H72" s="5" t="s">
        <v>126</v>
      </c>
      <c r="I72" s="7" t="s">
        <v>243</v>
      </c>
      <c r="J72" s="7" t="s">
        <v>79</v>
      </c>
      <c r="K72" s="7" t="s">
        <v>127</v>
      </c>
      <c r="L72" s="6" t="s">
        <v>111</v>
      </c>
      <c r="M72" s="10"/>
      <c r="N72">
        <f>VLOOKUP(C72,BigQuery!$1:$1048576,10,FALSE)</f>
        <v>14</v>
      </c>
      <c r="O72">
        <f>VLOOKUP(C72,Looker!$1:$1048576,10,FALSE)</f>
        <v>0</v>
      </c>
      <c r="P72">
        <f>VLOOKUP(C72,Dataflow!$1:$1048576,10,FALSE)</f>
        <v>0</v>
      </c>
      <c r="Q72">
        <f>VLOOKUP(C72,Dataproc!$1:$1048576,10,FALSE)</f>
        <v>14</v>
      </c>
      <c r="R72">
        <f>VLOOKUP(C72,'Google Kubernetes Engine'!$1:$1048576,10,FALSE)</f>
        <v>0</v>
      </c>
      <c r="S72">
        <f>VLOOKUP(C72,'Apigee API Management'!$1:$1048576,10,FALSE)</f>
        <v>0</v>
      </c>
      <c r="T72">
        <f>VLOOKUP(C72,'Cloud Run'!$1:$1048576,10,FALSE)</f>
        <v>0</v>
      </c>
      <c r="U72">
        <f>VLOOKUP(C72,Workspace!$1:$1048576,10,FALSE)</f>
        <v>0</v>
      </c>
      <c r="V72">
        <f>VLOOKUP(C72,'Cloud SQL'!$1:$1048576,10,FALSE)</f>
        <v>0</v>
      </c>
      <c r="W72">
        <f>VLOOKUP(C72,'AlloyDB for PostgreSQL'!$1:$1048576,10,FALSE)</f>
        <v>0</v>
      </c>
      <c r="X72">
        <f>VLOOKUP(C72,Spanner!$1:$1048576,10,FALSE)</f>
        <v>0</v>
      </c>
      <c r="Y72">
        <f>VLOOKUP(C72,Oracle!$1:$1048576,10,FALSE)</f>
        <v>0</v>
      </c>
      <c r="Z72">
        <f>VLOOKUP(C72,'Google Compute Engine'!$1:$1048576,10,FALSE)</f>
        <v>0</v>
      </c>
      <c r="AA72">
        <f>VLOOKUP(C72,'Google Cloud Networking'!$1:$1048576,10,FALSE)</f>
        <v>24</v>
      </c>
      <c r="AB72">
        <f>VLOOKUP(C72,'SAP on Google Cloud'!$1:$1048576,10,FALSE)</f>
        <v>0</v>
      </c>
      <c r="AC72">
        <f>VLOOKUP(C72,'Google Cloud VMware Engine'!$1:$1048576,10,FALSE)</f>
        <v>0</v>
      </c>
      <c r="AD72">
        <f>VLOOKUP(C72,'Google Distributed Cloud'!$1:$1048576,10,FALSE)</f>
        <v>0</v>
      </c>
      <c r="AE72">
        <f>VLOOKUP(C72,'Cloud Security'!$1:$1048576,10,FALSE)</f>
        <v>0</v>
      </c>
      <c r="AF72">
        <f>VLOOKUP(C72,'Security Command Center'!$1:$1048576,10,FALSE)</f>
        <v>0</v>
      </c>
      <c r="AG72">
        <f>VLOOKUP(C72,'Security Operations'!$1:$1048576,10,FALSE)</f>
        <v>0</v>
      </c>
      <c r="AH72">
        <f>VLOOKUP(C72,'Google Threat Intelligence'!$1:$1048576,10,FALSE)</f>
        <v>0</v>
      </c>
      <c r="AI72">
        <f>VLOOKUP(C72,'Vertex AI Platform'!$1:$1048576,10,FALSE)</f>
        <v>29</v>
      </c>
      <c r="AJ72">
        <f>VLOOKUP(C72,'AI Applications'!$1:$1048576,10,FALSE)</f>
        <v>14</v>
      </c>
      <c r="AK72">
        <f>VLOOKUP(C72,'Gemini Enterprise'!$1:$1048576,10,FALSE)</f>
        <v>14</v>
      </c>
      <c r="AL72">
        <f>VLOOKUP(C72,'Customer Engagement Suite'!$1:$1048576,10,FALSE)</f>
        <v>14</v>
      </c>
      <c r="AM72">
        <f t="shared" si="1"/>
        <v>123</v>
      </c>
    </row>
    <row r="73" spans="1:39">
      <c r="A73" s="5" t="s">
        <v>272</v>
      </c>
      <c r="B73" s="5" t="s">
        <v>71</v>
      </c>
      <c r="C73" s="6" t="s">
        <v>273</v>
      </c>
      <c r="D73" s="7" t="s">
        <v>105</v>
      </c>
      <c r="E73" s="7" t="s">
        <v>106</v>
      </c>
      <c r="F73" s="7" t="s">
        <v>274</v>
      </c>
      <c r="G73" s="5" t="s">
        <v>76</v>
      </c>
      <c r="H73" s="5" t="s">
        <v>126</v>
      </c>
      <c r="I73" s="7" t="s">
        <v>78</v>
      </c>
      <c r="J73" s="7" t="s">
        <v>79</v>
      </c>
      <c r="K73" s="7" t="s">
        <v>127</v>
      </c>
      <c r="L73" s="6" t="s">
        <v>111</v>
      </c>
      <c r="M73" s="10"/>
      <c r="N73">
        <f>VLOOKUP(C73,BigQuery!$1:$1048576,10,FALSE)</f>
        <v>0</v>
      </c>
      <c r="O73">
        <f>VLOOKUP(C73,Looker!$1:$1048576,10,FALSE)</f>
        <v>0</v>
      </c>
      <c r="P73">
        <f>VLOOKUP(C73,Dataflow!$1:$1048576,10,FALSE)</f>
        <v>0</v>
      </c>
      <c r="Q73">
        <f>VLOOKUP(C73,Dataproc!$1:$1048576,10,FALSE)</f>
        <v>0</v>
      </c>
      <c r="R73">
        <f>VLOOKUP(C73,'Google Kubernetes Engine'!$1:$1048576,10,FALSE)</f>
        <v>0</v>
      </c>
      <c r="S73">
        <f>VLOOKUP(C73,'Apigee API Management'!$1:$1048576,10,FALSE)</f>
        <v>0</v>
      </c>
      <c r="T73">
        <f>VLOOKUP(C73,'Cloud Run'!$1:$1048576,10,FALSE)</f>
        <v>0</v>
      </c>
      <c r="U73">
        <f>VLOOKUP(C73,Workspace!$1:$1048576,10,FALSE)</f>
        <v>0</v>
      </c>
      <c r="V73">
        <f>VLOOKUP(C73,'Cloud SQL'!$1:$1048576,10,FALSE)</f>
        <v>0</v>
      </c>
      <c r="W73">
        <f>VLOOKUP(C73,'AlloyDB for PostgreSQL'!$1:$1048576,10,FALSE)</f>
        <v>0</v>
      </c>
      <c r="X73">
        <f>VLOOKUP(C73,Spanner!$1:$1048576,10,FALSE)</f>
        <v>0</v>
      </c>
      <c r="Y73">
        <f>VLOOKUP(C73,Oracle!$1:$1048576,10,FALSE)</f>
        <v>0</v>
      </c>
      <c r="Z73">
        <f>VLOOKUP(C73,'Google Compute Engine'!$1:$1048576,10,FALSE)</f>
        <v>0</v>
      </c>
      <c r="AA73">
        <f>VLOOKUP(C73,'Google Cloud Networking'!$1:$1048576,10,FALSE)</f>
        <v>0</v>
      </c>
      <c r="AB73">
        <f>VLOOKUP(C73,'SAP on Google Cloud'!$1:$1048576,10,FALSE)</f>
        <v>0</v>
      </c>
      <c r="AC73">
        <f>VLOOKUP(C73,'Google Cloud VMware Engine'!$1:$1048576,10,FALSE)</f>
        <v>0</v>
      </c>
      <c r="AD73">
        <f>VLOOKUP(C73,'Google Distributed Cloud'!$1:$1048576,10,FALSE)</f>
        <v>0</v>
      </c>
      <c r="AE73">
        <f>VLOOKUP(C73,'Cloud Security'!$1:$1048576,10,FALSE)</f>
        <v>0</v>
      </c>
      <c r="AF73">
        <f>VLOOKUP(C73,'Security Command Center'!$1:$1048576,10,FALSE)</f>
        <v>0</v>
      </c>
      <c r="AG73">
        <f>VLOOKUP(C73,'Security Operations'!$1:$1048576,10,FALSE)</f>
        <v>0</v>
      </c>
      <c r="AH73">
        <f>VLOOKUP(C73,'Google Threat Intelligence'!$1:$1048576,10,FALSE)</f>
        <v>0</v>
      </c>
      <c r="AI73">
        <f>VLOOKUP(C73,'Vertex AI Platform'!$1:$1048576,10,FALSE)</f>
        <v>0</v>
      </c>
      <c r="AJ73">
        <f>VLOOKUP(C73,'AI Applications'!$1:$1048576,10,FALSE)</f>
        <v>0</v>
      </c>
      <c r="AK73">
        <f>VLOOKUP(C73,'Gemini Enterprise'!$1:$1048576,10,FALSE)</f>
        <v>0</v>
      </c>
      <c r="AL73">
        <f>VLOOKUP(C73,'Customer Engagement Suite'!$1:$1048576,10,FALSE)</f>
        <v>0</v>
      </c>
      <c r="AM73">
        <f t="shared" si="1"/>
        <v>0</v>
      </c>
    </row>
    <row r="74" spans="1:39">
      <c r="A74" s="5" t="s">
        <v>275</v>
      </c>
      <c r="B74" s="5" t="s">
        <v>114</v>
      </c>
      <c r="C74" s="6" t="s">
        <v>8</v>
      </c>
      <c r="D74" s="7" t="s">
        <v>238</v>
      </c>
      <c r="E74" s="7" t="s">
        <v>74</v>
      </c>
      <c r="F74" s="7" t="s">
        <v>136</v>
      </c>
      <c r="G74" s="5" t="s">
        <v>102</v>
      </c>
      <c r="H74" s="5" t="s">
        <v>108</v>
      </c>
      <c r="I74" s="7" t="s">
        <v>78</v>
      </c>
      <c r="J74" s="7" t="s">
        <v>137</v>
      </c>
      <c r="K74" s="7" t="s">
        <v>110</v>
      </c>
      <c r="L74" s="6" t="s">
        <v>111</v>
      </c>
      <c r="M74" s="10" t="s">
        <v>112</v>
      </c>
      <c r="N74">
        <f>VLOOKUP(C74,BigQuery!$1:$1048576,10,FALSE)</f>
        <v>0</v>
      </c>
      <c r="O74">
        <f>VLOOKUP(C74,Looker!$1:$1048576,10,FALSE)</f>
        <v>0</v>
      </c>
      <c r="P74">
        <f>VLOOKUP(C74,Dataflow!$1:$1048576,10,FALSE)</f>
        <v>0</v>
      </c>
      <c r="Q74">
        <f>VLOOKUP(C74,Dataproc!$1:$1048576,10,FALSE)</f>
        <v>0</v>
      </c>
      <c r="R74">
        <f>VLOOKUP(C74,'Google Kubernetes Engine'!$1:$1048576,10,FALSE)</f>
        <v>39</v>
      </c>
      <c r="S74">
        <f>VLOOKUP(C74,'Apigee API Management'!$1:$1048576,10,FALSE)</f>
        <v>19</v>
      </c>
      <c r="T74">
        <f>VLOOKUP(C74,'Cloud Run'!$1:$1048576,10,FALSE)</f>
        <v>39</v>
      </c>
      <c r="U74">
        <f>VLOOKUP(C74,Workspace!$1:$1048576,10,FALSE)</f>
        <v>0</v>
      </c>
      <c r="V74">
        <f>VLOOKUP(C74,'Cloud SQL'!$1:$1048576,10,FALSE)</f>
        <v>14</v>
      </c>
      <c r="W74">
        <f>VLOOKUP(C74,'AlloyDB for PostgreSQL'!$1:$1048576,10,FALSE)</f>
        <v>0</v>
      </c>
      <c r="X74">
        <f>VLOOKUP(C74,Spanner!$1:$1048576,10,FALSE)</f>
        <v>0</v>
      </c>
      <c r="Y74">
        <f>VLOOKUP(C74,Oracle!$1:$1048576,10,FALSE)</f>
        <v>0</v>
      </c>
      <c r="Z74">
        <f>VLOOKUP(C74,'Google Compute Engine'!$1:$1048576,10,FALSE)</f>
        <v>29</v>
      </c>
      <c r="AA74">
        <f>VLOOKUP(C74,'Google Cloud Networking'!$1:$1048576,10,FALSE)</f>
        <v>29</v>
      </c>
      <c r="AB74">
        <f>VLOOKUP(C74,'SAP on Google Cloud'!$1:$1048576,10,FALSE)</f>
        <v>0</v>
      </c>
      <c r="AC74">
        <f>VLOOKUP(C74,'Google Cloud VMware Engine'!$1:$1048576,10,FALSE)</f>
        <v>0</v>
      </c>
      <c r="AD74">
        <f>VLOOKUP(C74,'Google Distributed Cloud'!$1:$1048576,10,FALSE)</f>
        <v>0</v>
      </c>
      <c r="AE74">
        <f>VLOOKUP(C74,'Cloud Security'!$1:$1048576,10,FALSE)</f>
        <v>14</v>
      </c>
      <c r="AF74">
        <f>VLOOKUP(C74,'Security Command Center'!$1:$1048576,10,FALSE)</f>
        <v>0</v>
      </c>
      <c r="AG74">
        <f>VLOOKUP(C74,'Security Operations'!$1:$1048576,10,FALSE)</f>
        <v>0</v>
      </c>
      <c r="AH74">
        <f>VLOOKUP(C74,'Google Threat Intelligence'!$1:$1048576,10,FALSE)</f>
        <v>0</v>
      </c>
      <c r="AI74">
        <f>VLOOKUP(C74,'Vertex AI Platform'!$1:$1048576,10,FALSE)</f>
        <v>0</v>
      </c>
      <c r="AJ74">
        <f>VLOOKUP(C74,'AI Applications'!$1:$1048576,10,FALSE)</f>
        <v>0</v>
      </c>
      <c r="AK74">
        <f>VLOOKUP(C74,'Gemini Enterprise'!$1:$1048576,10,FALSE)</f>
        <v>0</v>
      </c>
      <c r="AL74">
        <f>VLOOKUP(C74,'Customer Engagement Suite'!$1:$1048576,10,FALSE)</f>
        <v>0</v>
      </c>
      <c r="AM74">
        <f t="shared" si="1"/>
        <v>183</v>
      </c>
    </row>
    <row r="75" spans="1:39">
      <c r="A75" s="5" t="s">
        <v>276</v>
      </c>
      <c r="B75" s="5" t="s">
        <v>71</v>
      </c>
      <c r="C75" s="6" t="s">
        <v>277</v>
      </c>
      <c r="D75" s="7" t="s">
        <v>73</v>
      </c>
      <c r="E75" s="7" t="s">
        <v>74</v>
      </c>
      <c r="F75" s="7" t="s">
        <v>189</v>
      </c>
      <c r="G75" s="5" t="s">
        <v>76</v>
      </c>
      <c r="H75" s="5" t="s">
        <v>94</v>
      </c>
      <c r="I75" s="7" t="s">
        <v>78</v>
      </c>
      <c r="J75" s="7" t="s">
        <v>95</v>
      </c>
      <c r="K75" s="7" t="s">
        <v>96</v>
      </c>
      <c r="L75" s="6" t="s">
        <v>24</v>
      </c>
      <c r="M75" s="10"/>
      <c r="N75">
        <f>VLOOKUP(C75,BigQuery!$1:$1048576,10,FALSE)</f>
        <v>0</v>
      </c>
      <c r="O75">
        <f>VLOOKUP(C75,Looker!$1:$1048576,10,FALSE)</f>
        <v>0</v>
      </c>
      <c r="P75">
        <f>VLOOKUP(C75,Dataflow!$1:$1048576,10,FALSE)</f>
        <v>0</v>
      </c>
      <c r="Q75">
        <f>VLOOKUP(C75,Dataproc!$1:$1048576,10,FALSE)</f>
        <v>0</v>
      </c>
      <c r="R75">
        <f>VLOOKUP(C75,'Google Kubernetes Engine'!$1:$1048576,10,FALSE)</f>
        <v>0</v>
      </c>
      <c r="S75">
        <f>VLOOKUP(C75,'Apigee API Management'!$1:$1048576,10,FALSE)</f>
        <v>0</v>
      </c>
      <c r="T75">
        <f>VLOOKUP(C75,'Cloud Run'!$1:$1048576,10,FALSE)</f>
        <v>0</v>
      </c>
      <c r="U75">
        <f>VLOOKUP(C75,Workspace!$1:$1048576,10,FALSE)</f>
        <v>0</v>
      </c>
      <c r="V75">
        <f>VLOOKUP(C75,'Cloud SQL'!$1:$1048576,10,FALSE)</f>
        <v>0</v>
      </c>
      <c r="W75">
        <f>VLOOKUP(C75,'AlloyDB for PostgreSQL'!$1:$1048576,10,FALSE)</f>
        <v>0</v>
      </c>
      <c r="X75">
        <f>VLOOKUP(C75,Spanner!$1:$1048576,10,FALSE)</f>
        <v>0</v>
      </c>
      <c r="Y75">
        <f>VLOOKUP(C75,Oracle!$1:$1048576,10,FALSE)</f>
        <v>0</v>
      </c>
      <c r="Z75">
        <f>VLOOKUP(C75,'Google Compute Engine'!$1:$1048576,10,FALSE)</f>
        <v>0</v>
      </c>
      <c r="AA75">
        <f>VLOOKUP(C75,'Google Cloud Networking'!$1:$1048576,10,FALSE)</f>
        <v>0</v>
      </c>
      <c r="AB75">
        <f>VLOOKUP(C75,'SAP on Google Cloud'!$1:$1048576,10,FALSE)</f>
        <v>0</v>
      </c>
      <c r="AC75">
        <f>VLOOKUP(C75,'Google Cloud VMware Engine'!$1:$1048576,10,FALSE)</f>
        <v>0</v>
      </c>
      <c r="AD75">
        <f>VLOOKUP(C75,'Google Distributed Cloud'!$1:$1048576,10,FALSE)</f>
        <v>0</v>
      </c>
      <c r="AE75">
        <f>VLOOKUP(C75,'Cloud Security'!$1:$1048576,10,FALSE)</f>
        <v>0</v>
      </c>
      <c r="AF75">
        <f>VLOOKUP(C75,'Security Command Center'!$1:$1048576,10,FALSE)</f>
        <v>0</v>
      </c>
      <c r="AG75">
        <f>VLOOKUP(C75,'Security Operations'!$1:$1048576,10,FALSE)</f>
        <v>0</v>
      </c>
      <c r="AH75">
        <f>VLOOKUP(C75,'Google Threat Intelligence'!$1:$1048576,10,FALSE)</f>
        <v>0</v>
      </c>
      <c r="AI75">
        <f>VLOOKUP(C75,'Vertex AI Platform'!$1:$1048576,10,FALSE)</f>
        <v>0</v>
      </c>
      <c r="AJ75">
        <f>VLOOKUP(C75,'AI Applications'!$1:$1048576,10,FALSE)</f>
        <v>0</v>
      </c>
      <c r="AK75">
        <f>VLOOKUP(C75,'Gemini Enterprise'!$1:$1048576,10,FALSE)</f>
        <v>0</v>
      </c>
      <c r="AL75">
        <f>VLOOKUP(C75,'Customer Engagement Suite'!$1:$1048576,10,FALSE)</f>
        <v>0</v>
      </c>
      <c r="AM75">
        <f t="shared" si="1"/>
        <v>0</v>
      </c>
    </row>
    <row r="76" spans="1:39">
      <c r="A76" s="5" t="s">
        <v>278</v>
      </c>
      <c r="B76" s="5" t="s">
        <v>99</v>
      </c>
      <c r="C76" s="6" t="s">
        <v>279</v>
      </c>
      <c r="D76" s="7" t="s">
        <v>115</v>
      </c>
      <c r="E76" s="7" t="s">
        <v>116</v>
      </c>
      <c r="F76" s="7" t="s">
        <v>200</v>
      </c>
      <c r="G76" s="5" t="s">
        <v>102</v>
      </c>
      <c r="H76" s="5" t="s">
        <v>103</v>
      </c>
      <c r="I76" s="7" t="s">
        <v>78</v>
      </c>
      <c r="J76" s="7" t="s">
        <v>79</v>
      </c>
      <c r="K76" s="7" t="s">
        <v>87</v>
      </c>
      <c r="L76" s="6" t="s">
        <v>6</v>
      </c>
      <c r="M76" s="10"/>
      <c r="N76">
        <f>VLOOKUP(C76,BigQuery!$1:$1048576,10,FALSE)</f>
        <v>0</v>
      </c>
      <c r="O76">
        <f>VLOOKUP(C76,Looker!$1:$1048576,10,FALSE)</f>
        <v>0</v>
      </c>
      <c r="P76">
        <f>VLOOKUP(C76,Dataflow!$1:$1048576,10,FALSE)</f>
        <v>0</v>
      </c>
      <c r="Q76">
        <f>VLOOKUP(C76,Dataproc!$1:$1048576,10,FALSE)</f>
        <v>0</v>
      </c>
      <c r="R76">
        <f>VLOOKUP(C76,'Google Kubernetes Engine'!$1:$1048576,10,FALSE)</f>
        <v>0</v>
      </c>
      <c r="S76">
        <f>VLOOKUP(C76,'Apigee API Management'!$1:$1048576,10,FALSE)</f>
        <v>0</v>
      </c>
      <c r="T76">
        <f>VLOOKUP(C76,'Cloud Run'!$1:$1048576,10,FALSE)</f>
        <v>0</v>
      </c>
      <c r="U76">
        <f>VLOOKUP(C76,Workspace!$1:$1048576,10,FALSE)</f>
        <v>0</v>
      </c>
      <c r="V76">
        <f>VLOOKUP(C76,'Cloud SQL'!$1:$1048576,10,FALSE)</f>
        <v>0</v>
      </c>
      <c r="W76">
        <f>VLOOKUP(C76,'AlloyDB for PostgreSQL'!$1:$1048576,10,FALSE)</f>
        <v>0</v>
      </c>
      <c r="X76">
        <f>VLOOKUP(C76,Spanner!$1:$1048576,10,FALSE)</f>
        <v>0</v>
      </c>
      <c r="Y76">
        <f>VLOOKUP(C76,Oracle!$1:$1048576,10,FALSE)</f>
        <v>0</v>
      </c>
      <c r="Z76">
        <f>VLOOKUP(C76,'Google Compute Engine'!$1:$1048576,10,FALSE)</f>
        <v>0</v>
      </c>
      <c r="AA76">
        <f>VLOOKUP(C76,'Google Cloud Networking'!$1:$1048576,10,FALSE)</f>
        <v>0</v>
      </c>
      <c r="AB76">
        <f>VLOOKUP(C76,'SAP on Google Cloud'!$1:$1048576,10,FALSE)</f>
        <v>0</v>
      </c>
      <c r="AC76">
        <f>VLOOKUP(C76,'Google Cloud VMware Engine'!$1:$1048576,10,FALSE)</f>
        <v>0</v>
      </c>
      <c r="AD76">
        <f>VLOOKUP(C76,'Google Distributed Cloud'!$1:$1048576,10,FALSE)</f>
        <v>0</v>
      </c>
      <c r="AE76">
        <f>VLOOKUP(C76,'Cloud Security'!$1:$1048576,10,FALSE)</f>
        <v>0</v>
      </c>
      <c r="AF76">
        <f>VLOOKUP(C76,'Security Command Center'!$1:$1048576,10,FALSE)</f>
        <v>0</v>
      </c>
      <c r="AG76">
        <f>VLOOKUP(C76,'Security Operations'!$1:$1048576,10,FALSE)</f>
        <v>0</v>
      </c>
      <c r="AH76">
        <f>VLOOKUP(C76,'Google Threat Intelligence'!$1:$1048576,10,FALSE)</f>
        <v>0</v>
      </c>
      <c r="AI76">
        <f>VLOOKUP(C76,'Vertex AI Platform'!$1:$1048576,10,FALSE)</f>
        <v>0</v>
      </c>
      <c r="AJ76">
        <f>VLOOKUP(C76,'AI Applications'!$1:$1048576,10,FALSE)</f>
        <v>0</v>
      </c>
      <c r="AK76">
        <f>VLOOKUP(C76,'Gemini Enterprise'!$1:$1048576,10,FALSE)</f>
        <v>0</v>
      </c>
      <c r="AL76">
        <f>VLOOKUP(C76,'Customer Engagement Suite'!$1:$1048576,10,FALSE)</f>
        <v>0</v>
      </c>
      <c r="AM76">
        <f t="shared" si="1"/>
        <v>0</v>
      </c>
    </row>
    <row r="77" spans="1:39">
      <c r="A77" s="5" t="s">
        <v>280</v>
      </c>
      <c r="B77" s="5" t="s">
        <v>99</v>
      </c>
      <c r="C77" s="6" t="s">
        <v>281</v>
      </c>
      <c r="D77" s="7" t="s">
        <v>105</v>
      </c>
      <c r="E77" s="7" t="s">
        <v>106</v>
      </c>
      <c r="F77" s="7" t="s">
        <v>121</v>
      </c>
      <c r="G77" s="5" t="s">
        <v>282</v>
      </c>
      <c r="H77" s="5" t="s">
        <v>283</v>
      </c>
      <c r="I77" s="7" t="s">
        <v>78</v>
      </c>
      <c r="J77" s="7" t="s">
        <v>95</v>
      </c>
      <c r="K77" s="7" t="s">
        <v>96</v>
      </c>
      <c r="L77" s="6" t="s">
        <v>24</v>
      </c>
      <c r="M77" s="10"/>
      <c r="N77">
        <f>VLOOKUP(C77,BigQuery!$1:$1048576,10,FALSE)</f>
        <v>0</v>
      </c>
      <c r="O77">
        <f>VLOOKUP(C77,Looker!$1:$1048576,10,FALSE)</f>
        <v>0</v>
      </c>
      <c r="P77">
        <f>VLOOKUP(C77,Dataflow!$1:$1048576,10,FALSE)</f>
        <v>0</v>
      </c>
      <c r="Q77">
        <f>VLOOKUP(C77,Dataproc!$1:$1048576,10,FALSE)</f>
        <v>0</v>
      </c>
      <c r="R77">
        <f>VLOOKUP(C77,'Google Kubernetes Engine'!$1:$1048576,10,FALSE)</f>
        <v>0</v>
      </c>
      <c r="S77">
        <f>VLOOKUP(C77,'Apigee API Management'!$1:$1048576,10,FALSE)</f>
        <v>0</v>
      </c>
      <c r="T77">
        <f>VLOOKUP(C77,'Cloud Run'!$1:$1048576,10,FALSE)</f>
        <v>0</v>
      </c>
      <c r="U77">
        <f>VLOOKUP(C77,Workspace!$1:$1048576,10,FALSE)</f>
        <v>0</v>
      </c>
      <c r="V77">
        <f>VLOOKUP(C77,'Cloud SQL'!$1:$1048576,10,FALSE)</f>
        <v>0</v>
      </c>
      <c r="W77">
        <f>VLOOKUP(C77,'AlloyDB for PostgreSQL'!$1:$1048576,10,FALSE)</f>
        <v>0</v>
      </c>
      <c r="X77">
        <f>VLOOKUP(C77,Spanner!$1:$1048576,10,FALSE)</f>
        <v>0</v>
      </c>
      <c r="Y77">
        <f>VLOOKUP(C77,Oracle!$1:$1048576,10,FALSE)</f>
        <v>0</v>
      </c>
      <c r="Z77">
        <f>VLOOKUP(C77,'Google Compute Engine'!$1:$1048576,10,FALSE)</f>
        <v>0</v>
      </c>
      <c r="AA77">
        <f>VLOOKUP(C77,'Google Cloud Networking'!$1:$1048576,10,FALSE)</f>
        <v>0</v>
      </c>
      <c r="AB77">
        <f>VLOOKUP(C77,'SAP on Google Cloud'!$1:$1048576,10,FALSE)</f>
        <v>0</v>
      </c>
      <c r="AC77">
        <f>VLOOKUP(C77,'Google Cloud VMware Engine'!$1:$1048576,10,FALSE)</f>
        <v>0</v>
      </c>
      <c r="AD77">
        <f>VLOOKUP(C77,'Google Distributed Cloud'!$1:$1048576,10,FALSE)</f>
        <v>0</v>
      </c>
      <c r="AE77">
        <f>VLOOKUP(C77,'Cloud Security'!$1:$1048576,10,FALSE)</f>
        <v>0</v>
      </c>
      <c r="AF77">
        <f>VLOOKUP(C77,'Security Command Center'!$1:$1048576,10,FALSE)</f>
        <v>0</v>
      </c>
      <c r="AG77">
        <f>VLOOKUP(C77,'Security Operations'!$1:$1048576,10,FALSE)</f>
        <v>0</v>
      </c>
      <c r="AH77">
        <f>VLOOKUP(C77,'Google Threat Intelligence'!$1:$1048576,10,FALSE)</f>
        <v>0</v>
      </c>
      <c r="AI77">
        <f>VLOOKUP(C77,'Vertex AI Platform'!$1:$1048576,10,FALSE)</f>
        <v>0</v>
      </c>
      <c r="AJ77">
        <f>VLOOKUP(C77,'AI Applications'!$1:$1048576,10,FALSE)</f>
        <v>0</v>
      </c>
      <c r="AK77">
        <f>VLOOKUP(C77,'Gemini Enterprise'!$1:$1048576,10,FALSE)</f>
        <v>0</v>
      </c>
      <c r="AL77">
        <f>VLOOKUP(C77,'Customer Engagement Suite'!$1:$1048576,10,FALSE)</f>
        <v>0</v>
      </c>
      <c r="AM77">
        <f t="shared" si="1"/>
        <v>0</v>
      </c>
    </row>
    <row r="78" spans="1:39">
      <c r="A78" s="5" t="s">
        <v>284</v>
      </c>
      <c r="B78" s="5" t="s">
        <v>99</v>
      </c>
      <c r="C78" s="6" t="s">
        <v>285</v>
      </c>
      <c r="D78" s="7" t="s">
        <v>82</v>
      </c>
      <c r="E78" s="7" t="s">
        <v>83</v>
      </c>
      <c r="F78" s="7" t="s">
        <v>75</v>
      </c>
      <c r="G78" s="5" t="s">
        <v>102</v>
      </c>
      <c r="H78" s="5" t="s">
        <v>213</v>
      </c>
      <c r="I78" s="7" t="s">
        <v>78</v>
      </c>
      <c r="J78" s="7" t="s">
        <v>206</v>
      </c>
      <c r="K78" s="7" t="s">
        <v>80</v>
      </c>
      <c r="L78" s="6" t="s">
        <v>218</v>
      </c>
      <c r="M78" s="10"/>
      <c r="N78">
        <f>VLOOKUP(C78,BigQuery!$1:$1048576,10,FALSE)</f>
        <v>0</v>
      </c>
      <c r="O78">
        <f>VLOOKUP(C78,Looker!$1:$1048576,10,FALSE)</f>
        <v>0</v>
      </c>
      <c r="P78">
        <f>VLOOKUP(C78,Dataflow!$1:$1048576,10,FALSE)</f>
        <v>0</v>
      </c>
      <c r="Q78">
        <f>VLOOKUP(C78,Dataproc!$1:$1048576,10,FALSE)</f>
        <v>0</v>
      </c>
      <c r="R78">
        <f>VLOOKUP(C78,'Google Kubernetes Engine'!$1:$1048576,10,FALSE)</f>
        <v>0</v>
      </c>
      <c r="S78">
        <f>VLOOKUP(C78,'Apigee API Management'!$1:$1048576,10,FALSE)</f>
        <v>0</v>
      </c>
      <c r="T78">
        <f>VLOOKUP(C78,'Cloud Run'!$1:$1048576,10,FALSE)</f>
        <v>0</v>
      </c>
      <c r="U78">
        <f>VLOOKUP(C78,Workspace!$1:$1048576,10,FALSE)</f>
        <v>0</v>
      </c>
      <c r="V78">
        <f>VLOOKUP(C78,'Cloud SQL'!$1:$1048576,10,FALSE)</f>
        <v>0</v>
      </c>
      <c r="W78">
        <f>VLOOKUP(C78,'AlloyDB for PostgreSQL'!$1:$1048576,10,FALSE)</f>
        <v>0</v>
      </c>
      <c r="X78">
        <f>VLOOKUP(C78,Spanner!$1:$1048576,10,FALSE)</f>
        <v>0</v>
      </c>
      <c r="Y78">
        <f>VLOOKUP(C78,Oracle!$1:$1048576,10,FALSE)</f>
        <v>0</v>
      </c>
      <c r="Z78">
        <f>VLOOKUP(C78,'Google Compute Engine'!$1:$1048576,10,FALSE)</f>
        <v>0</v>
      </c>
      <c r="AA78">
        <f>VLOOKUP(C78,'Google Cloud Networking'!$1:$1048576,10,FALSE)</f>
        <v>0</v>
      </c>
      <c r="AB78">
        <f>VLOOKUP(C78,'SAP on Google Cloud'!$1:$1048576,10,FALSE)</f>
        <v>0</v>
      </c>
      <c r="AC78">
        <f>VLOOKUP(C78,'Google Cloud VMware Engine'!$1:$1048576,10,FALSE)</f>
        <v>0</v>
      </c>
      <c r="AD78">
        <f>VLOOKUP(C78,'Google Distributed Cloud'!$1:$1048576,10,FALSE)</f>
        <v>0</v>
      </c>
      <c r="AE78">
        <f>VLOOKUP(C78,'Cloud Security'!$1:$1048576,10,FALSE)</f>
        <v>0</v>
      </c>
      <c r="AF78">
        <f>VLOOKUP(C78,'Security Command Center'!$1:$1048576,10,FALSE)</f>
        <v>0</v>
      </c>
      <c r="AG78">
        <f>VLOOKUP(C78,'Security Operations'!$1:$1048576,10,FALSE)</f>
        <v>0</v>
      </c>
      <c r="AH78">
        <f>VLOOKUP(C78,'Google Threat Intelligence'!$1:$1048576,10,FALSE)</f>
        <v>0</v>
      </c>
      <c r="AI78">
        <f>VLOOKUP(C78,'Vertex AI Platform'!$1:$1048576,10,FALSE)</f>
        <v>0</v>
      </c>
      <c r="AJ78">
        <f>VLOOKUP(C78,'AI Applications'!$1:$1048576,10,FALSE)</f>
        <v>0</v>
      </c>
      <c r="AK78">
        <f>VLOOKUP(C78,'Gemini Enterprise'!$1:$1048576,10,FALSE)</f>
        <v>0</v>
      </c>
      <c r="AL78">
        <f>VLOOKUP(C78,'Customer Engagement Suite'!$1:$1048576,10,FALSE)</f>
        <v>0</v>
      </c>
      <c r="AM78">
        <f t="shared" si="1"/>
        <v>0</v>
      </c>
    </row>
    <row r="79" spans="1:39">
      <c r="A79" s="5" t="s">
        <v>286</v>
      </c>
      <c r="B79" s="5" t="s">
        <v>89</v>
      </c>
      <c r="C79" s="6" t="s">
        <v>17</v>
      </c>
      <c r="D79" s="7" t="s">
        <v>73</v>
      </c>
      <c r="E79" s="7" t="s">
        <v>74</v>
      </c>
      <c r="F79" s="7" t="s">
        <v>189</v>
      </c>
      <c r="G79" s="5" t="s">
        <v>76</v>
      </c>
      <c r="H79" s="5" t="s">
        <v>94</v>
      </c>
      <c r="I79" s="7" t="s">
        <v>78</v>
      </c>
      <c r="J79" s="7" t="s">
        <v>95</v>
      </c>
      <c r="K79" s="7" t="s">
        <v>96</v>
      </c>
      <c r="L79" s="6" t="s">
        <v>24</v>
      </c>
      <c r="M79" s="10"/>
      <c r="N79">
        <f>VLOOKUP(C79,BigQuery!$1:$1048576,10,FALSE)</f>
        <v>0</v>
      </c>
      <c r="O79">
        <f>VLOOKUP(C79,Looker!$1:$1048576,10,FALSE)</f>
        <v>0</v>
      </c>
      <c r="P79">
        <f>VLOOKUP(C79,Dataflow!$1:$1048576,10,FALSE)</f>
        <v>0</v>
      </c>
      <c r="Q79">
        <f>VLOOKUP(C79,Dataproc!$1:$1048576,10,FALSE)</f>
        <v>0</v>
      </c>
      <c r="R79">
        <f>VLOOKUP(C79,'Google Kubernetes Engine'!$1:$1048576,10,FALSE)</f>
        <v>0</v>
      </c>
      <c r="S79">
        <f>VLOOKUP(C79,'Apigee API Management'!$1:$1048576,10,FALSE)</f>
        <v>0</v>
      </c>
      <c r="T79">
        <f>VLOOKUP(C79,'Cloud Run'!$1:$1048576,10,FALSE)</f>
        <v>0</v>
      </c>
      <c r="U79">
        <f>VLOOKUP(C79,Workspace!$1:$1048576,10,FALSE)</f>
        <v>0</v>
      </c>
      <c r="V79">
        <f>VLOOKUP(C79,'Cloud SQL'!$1:$1048576,10,FALSE)</f>
        <v>0</v>
      </c>
      <c r="W79">
        <f>VLOOKUP(C79,'AlloyDB for PostgreSQL'!$1:$1048576,10,FALSE)</f>
        <v>0</v>
      </c>
      <c r="X79">
        <f>VLOOKUP(C79,Spanner!$1:$1048576,10,FALSE)</f>
        <v>0</v>
      </c>
      <c r="Y79">
        <f>VLOOKUP(C79,Oracle!$1:$1048576,10,FALSE)</f>
        <v>0</v>
      </c>
      <c r="Z79">
        <f>VLOOKUP(C79,'Google Compute Engine'!$1:$1048576,10,FALSE)</f>
        <v>0</v>
      </c>
      <c r="AA79">
        <f>VLOOKUP(C79,'Google Cloud Networking'!$1:$1048576,10,FALSE)</f>
        <v>0</v>
      </c>
      <c r="AB79">
        <f>VLOOKUP(C79,'SAP on Google Cloud'!$1:$1048576,10,FALSE)</f>
        <v>0</v>
      </c>
      <c r="AC79">
        <f>VLOOKUP(C79,'Google Cloud VMware Engine'!$1:$1048576,10,FALSE)</f>
        <v>0</v>
      </c>
      <c r="AD79">
        <f>VLOOKUP(C79,'Google Distributed Cloud'!$1:$1048576,10,FALSE)</f>
        <v>0</v>
      </c>
      <c r="AE79">
        <f>VLOOKUP(C79,'Cloud Security'!$1:$1048576,10,FALSE)</f>
        <v>0</v>
      </c>
      <c r="AF79">
        <f>VLOOKUP(C79,'Security Command Center'!$1:$1048576,10,FALSE)</f>
        <v>0</v>
      </c>
      <c r="AG79">
        <f>VLOOKUP(C79,'Security Operations'!$1:$1048576,10,FALSE)</f>
        <v>0</v>
      </c>
      <c r="AH79">
        <f>VLOOKUP(C79,'Google Threat Intelligence'!$1:$1048576,10,FALSE)</f>
        <v>0</v>
      </c>
      <c r="AI79">
        <f>VLOOKUP(C79,'Vertex AI Platform'!$1:$1048576,10,FALSE)</f>
        <v>13</v>
      </c>
      <c r="AJ79">
        <f>VLOOKUP(C79,'AI Applications'!$1:$1048576,10,FALSE)</f>
        <v>13</v>
      </c>
      <c r="AK79">
        <f>VLOOKUP(C79,'Gemini Enterprise'!$1:$1048576,10,FALSE)</f>
        <v>13</v>
      </c>
      <c r="AL79">
        <f>VLOOKUP(C79,'Customer Engagement Suite'!$1:$1048576,10,FALSE)</f>
        <v>13</v>
      </c>
      <c r="AM79">
        <f t="shared" si="1"/>
        <v>52</v>
      </c>
    </row>
    <row r="80" spans="1:39">
      <c r="A80" s="5" t="s">
        <v>287</v>
      </c>
      <c r="B80" s="5" t="s">
        <v>89</v>
      </c>
      <c r="C80" s="12" t="s">
        <v>288</v>
      </c>
      <c r="D80" s="7" t="s">
        <v>119</v>
      </c>
      <c r="E80" s="7" t="s">
        <v>120</v>
      </c>
      <c r="F80" s="7" t="s">
        <v>121</v>
      </c>
      <c r="G80" s="5" t="s">
        <v>76</v>
      </c>
      <c r="H80" s="5" t="s">
        <v>126</v>
      </c>
      <c r="I80" s="7" t="s">
        <v>78</v>
      </c>
      <c r="J80" s="7" t="s">
        <v>79</v>
      </c>
      <c r="K80" s="7" t="s">
        <v>127</v>
      </c>
      <c r="L80" s="6" t="s">
        <v>111</v>
      </c>
      <c r="M80" s="10"/>
      <c r="N80" t="e">
        <f>VLOOKUP(C80,BigQuery!$1:$1048576,10,FALSE)</f>
        <v>#N/A</v>
      </c>
      <c r="O80" t="e">
        <f>VLOOKUP(C80,Looker!$1:$1048576,10,FALSE)</f>
        <v>#N/A</v>
      </c>
      <c r="P80" t="e">
        <f>VLOOKUP(C80,Dataflow!$1:$1048576,10,FALSE)</f>
        <v>#N/A</v>
      </c>
      <c r="Q80" t="e">
        <f>VLOOKUP(C80,Dataproc!$1:$1048576,10,FALSE)</f>
        <v>#N/A</v>
      </c>
      <c r="R80" t="e">
        <f>VLOOKUP(C80,'Google Kubernetes Engine'!$1:$1048576,10,FALSE)</f>
        <v>#N/A</v>
      </c>
      <c r="S80" t="e">
        <f>VLOOKUP(C80,'Apigee API Management'!$1:$1048576,10,FALSE)</f>
        <v>#N/A</v>
      </c>
      <c r="T80" t="e">
        <f>VLOOKUP(C80,'Cloud Run'!$1:$1048576,10,FALSE)</f>
        <v>#N/A</v>
      </c>
      <c r="U80" t="e">
        <f>VLOOKUP(C80,Workspace!$1:$1048576,10,FALSE)</f>
        <v>#N/A</v>
      </c>
      <c r="V80" t="e">
        <f>VLOOKUP(C80,'Cloud SQL'!$1:$1048576,10,FALSE)</f>
        <v>#N/A</v>
      </c>
      <c r="W80" t="e">
        <f>VLOOKUP(C80,'AlloyDB for PostgreSQL'!$1:$1048576,10,FALSE)</f>
        <v>#N/A</v>
      </c>
      <c r="X80" t="e">
        <f>VLOOKUP(C80,Spanner!$1:$1048576,10,FALSE)</f>
        <v>#N/A</v>
      </c>
      <c r="Y80" t="e">
        <f>VLOOKUP(C80,Oracle!$1:$1048576,10,FALSE)</f>
        <v>#N/A</v>
      </c>
      <c r="Z80" t="e">
        <f>VLOOKUP(C80,'Google Compute Engine'!$1:$1048576,10,FALSE)</f>
        <v>#N/A</v>
      </c>
      <c r="AA80" t="e">
        <f>VLOOKUP(C80,'Google Cloud Networking'!$1:$1048576,10,FALSE)</f>
        <v>#N/A</v>
      </c>
      <c r="AB80" t="e">
        <f>VLOOKUP(C80,'SAP on Google Cloud'!$1:$1048576,10,FALSE)</f>
        <v>#N/A</v>
      </c>
      <c r="AC80" t="e">
        <f>VLOOKUP(C80,'Google Cloud VMware Engine'!$1:$1048576,10,FALSE)</f>
        <v>#N/A</v>
      </c>
      <c r="AD80" t="e">
        <f>VLOOKUP(C80,'Google Distributed Cloud'!$1:$1048576,10,FALSE)</f>
        <v>#N/A</v>
      </c>
      <c r="AE80" t="e">
        <f>VLOOKUP(C80,'Cloud Security'!$1:$1048576,10,FALSE)</f>
        <v>#N/A</v>
      </c>
      <c r="AF80" t="e">
        <f>VLOOKUP(C80,'Security Command Center'!$1:$1048576,10,FALSE)</f>
        <v>#N/A</v>
      </c>
      <c r="AG80" t="e">
        <f>VLOOKUP(C80,'Security Operations'!$1:$1048576,10,FALSE)</f>
        <v>#N/A</v>
      </c>
      <c r="AH80" t="e">
        <f>VLOOKUP(C80,'Google Threat Intelligence'!$1:$1048576,10,FALSE)</f>
        <v>#N/A</v>
      </c>
      <c r="AI80" t="e">
        <f>VLOOKUP(C80,'Vertex AI Platform'!$1:$1048576,10,FALSE)</f>
        <v>#N/A</v>
      </c>
      <c r="AJ80" t="e">
        <f>VLOOKUP(C80,'AI Applications'!$1:$1048576,10,FALSE)</f>
        <v>#N/A</v>
      </c>
      <c r="AK80" t="e">
        <f>VLOOKUP(C80,'Gemini Enterprise'!$1:$1048576,10,FALSE)</f>
        <v>#N/A</v>
      </c>
      <c r="AL80" t="e">
        <f>VLOOKUP(C80,'Customer Engagement Suite'!$1:$1048576,10,FALSE)</f>
        <v>#N/A</v>
      </c>
      <c r="AM80" t="e">
        <f t="shared" si="1"/>
        <v>#N/A</v>
      </c>
    </row>
    <row r="81" spans="1:39">
      <c r="A81" s="5" t="s">
        <v>289</v>
      </c>
      <c r="B81" s="5" t="s">
        <v>71</v>
      </c>
      <c r="C81" s="6" t="s">
        <v>290</v>
      </c>
      <c r="D81" s="7" t="s">
        <v>105</v>
      </c>
      <c r="E81" s="7" t="s">
        <v>106</v>
      </c>
      <c r="F81" s="7" t="s">
        <v>84</v>
      </c>
      <c r="G81" s="5" t="s">
        <v>76</v>
      </c>
      <c r="H81" s="5" t="s">
        <v>85</v>
      </c>
      <c r="I81" s="7" t="s">
        <v>78</v>
      </c>
      <c r="J81" s="7" t="s">
        <v>86</v>
      </c>
      <c r="K81" s="7" t="s">
        <v>87</v>
      </c>
      <c r="L81" s="6" t="s">
        <v>6</v>
      </c>
      <c r="M81" s="10"/>
      <c r="N81">
        <f>VLOOKUP(C81,BigQuery!$1:$1048576,10,FALSE)</f>
        <v>0</v>
      </c>
      <c r="O81">
        <f>VLOOKUP(C81,Looker!$1:$1048576,10,FALSE)</f>
        <v>0</v>
      </c>
      <c r="P81">
        <f>VLOOKUP(C81,Dataflow!$1:$1048576,10,FALSE)</f>
        <v>0</v>
      </c>
      <c r="Q81">
        <f>VLOOKUP(C81,Dataproc!$1:$1048576,10,FALSE)</f>
        <v>0</v>
      </c>
      <c r="R81">
        <f>VLOOKUP(C81,'Google Kubernetes Engine'!$1:$1048576,10,FALSE)</f>
        <v>0</v>
      </c>
      <c r="S81">
        <f>VLOOKUP(C81,'Apigee API Management'!$1:$1048576,10,FALSE)</f>
        <v>0</v>
      </c>
      <c r="T81">
        <f>VLOOKUP(C81,'Cloud Run'!$1:$1048576,10,FALSE)</f>
        <v>0</v>
      </c>
      <c r="U81">
        <f>VLOOKUP(C81,Workspace!$1:$1048576,10,FALSE)</f>
        <v>0</v>
      </c>
      <c r="V81">
        <f>VLOOKUP(C81,'Cloud SQL'!$1:$1048576,10,FALSE)</f>
        <v>0</v>
      </c>
      <c r="W81">
        <f>VLOOKUP(C81,'AlloyDB for PostgreSQL'!$1:$1048576,10,FALSE)</f>
        <v>0</v>
      </c>
      <c r="X81">
        <f>VLOOKUP(C81,Spanner!$1:$1048576,10,FALSE)</f>
        <v>0</v>
      </c>
      <c r="Y81">
        <f>VLOOKUP(C81,Oracle!$1:$1048576,10,FALSE)</f>
        <v>0</v>
      </c>
      <c r="Z81">
        <f>VLOOKUP(C81,'Google Compute Engine'!$1:$1048576,10,FALSE)</f>
        <v>0</v>
      </c>
      <c r="AA81">
        <f>VLOOKUP(C81,'Google Cloud Networking'!$1:$1048576,10,FALSE)</f>
        <v>0</v>
      </c>
      <c r="AB81">
        <f>VLOOKUP(C81,'SAP on Google Cloud'!$1:$1048576,10,FALSE)</f>
        <v>0</v>
      </c>
      <c r="AC81">
        <f>VLOOKUP(C81,'Google Cloud VMware Engine'!$1:$1048576,10,FALSE)</f>
        <v>0</v>
      </c>
      <c r="AD81">
        <f>VLOOKUP(C81,'Google Distributed Cloud'!$1:$1048576,10,FALSE)</f>
        <v>0</v>
      </c>
      <c r="AE81">
        <f>VLOOKUP(C81,'Cloud Security'!$1:$1048576,10,FALSE)</f>
        <v>0</v>
      </c>
      <c r="AF81">
        <f>VLOOKUP(C81,'Security Command Center'!$1:$1048576,10,FALSE)</f>
        <v>0</v>
      </c>
      <c r="AG81">
        <f>VLOOKUP(C81,'Security Operations'!$1:$1048576,10,FALSE)</f>
        <v>0</v>
      </c>
      <c r="AH81">
        <f>VLOOKUP(C81,'Google Threat Intelligence'!$1:$1048576,10,FALSE)</f>
        <v>0</v>
      </c>
      <c r="AI81">
        <f>VLOOKUP(C81,'Vertex AI Platform'!$1:$1048576,10,FALSE)</f>
        <v>0</v>
      </c>
      <c r="AJ81">
        <f>VLOOKUP(C81,'AI Applications'!$1:$1048576,10,FALSE)</f>
        <v>0</v>
      </c>
      <c r="AK81">
        <f>VLOOKUP(C81,'Gemini Enterprise'!$1:$1048576,10,FALSE)</f>
        <v>0</v>
      </c>
      <c r="AL81">
        <f>VLOOKUP(C81,'Customer Engagement Suite'!$1:$1048576,10,FALSE)</f>
        <v>0</v>
      </c>
      <c r="AM81">
        <f t="shared" si="1"/>
        <v>0</v>
      </c>
    </row>
    <row r="82" spans="1:39">
      <c r="A82" s="5" t="s">
        <v>291</v>
      </c>
      <c r="B82" s="5" t="s">
        <v>89</v>
      </c>
      <c r="C82" s="6" t="s">
        <v>292</v>
      </c>
      <c r="D82" s="7" t="s">
        <v>73</v>
      </c>
      <c r="E82" s="7" t="s">
        <v>74</v>
      </c>
      <c r="F82" s="5" t="s">
        <v>293</v>
      </c>
      <c r="G82" s="5" t="s">
        <v>76</v>
      </c>
      <c r="H82" s="5" t="s">
        <v>94</v>
      </c>
      <c r="I82" s="7" t="s">
        <v>78</v>
      </c>
      <c r="J82" s="7" t="s">
        <v>164</v>
      </c>
      <c r="K82" s="7" t="s">
        <v>96</v>
      </c>
      <c r="L82" s="6" t="s">
        <v>294</v>
      </c>
      <c r="M82" s="10"/>
      <c r="N82">
        <f>VLOOKUP(C82,BigQuery!$1:$1048576,10,FALSE)</f>
        <v>0</v>
      </c>
      <c r="O82">
        <f>VLOOKUP(C82,Looker!$1:$1048576,10,FALSE)</f>
        <v>0</v>
      </c>
      <c r="P82">
        <f>VLOOKUP(C82,Dataflow!$1:$1048576,10,FALSE)</f>
        <v>0</v>
      </c>
      <c r="Q82">
        <f>VLOOKUP(C82,Dataproc!$1:$1048576,10,FALSE)</f>
        <v>0</v>
      </c>
      <c r="R82">
        <f>VLOOKUP(C82,'Google Kubernetes Engine'!$1:$1048576,10,FALSE)</f>
        <v>0</v>
      </c>
      <c r="S82">
        <f>VLOOKUP(C82,'Apigee API Management'!$1:$1048576,10,FALSE)</f>
        <v>0</v>
      </c>
      <c r="T82">
        <f>VLOOKUP(C82,'Cloud Run'!$1:$1048576,10,FALSE)</f>
        <v>0</v>
      </c>
      <c r="U82">
        <f>VLOOKUP(C82,Workspace!$1:$1048576,10,FALSE)</f>
        <v>0</v>
      </c>
      <c r="V82">
        <f>VLOOKUP(C82,'Cloud SQL'!$1:$1048576,10,FALSE)</f>
        <v>0</v>
      </c>
      <c r="W82">
        <f>VLOOKUP(C82,'AlloyDB for PostgreSQL'!$1:$1048576,10,FALSE)</f>
        <v>0</v>
      </c>
      <c r="X82">
        <f>VLOOKUP(C82,Spanner!$1:$1048576,10,FALSE)</f>
        <v>0</v>
      </c>
      <c r="Y82">
        <f>VLOOKUP(C82,Oracle!$1:$1048576,10,FALSE)</f>
        <v>0</v>
      </c>
      <c r="Z82">
        <f>VLOOKUP(C82,'Google Compute Engine'!$1:$1048576,10,FALSE)</f>
        <v>0</v>
      </c>
      <c r="AA82">
        <f>VLOOKUP(C82,'Google Cloud Networking'!$1:$1048576,10,FALSE)</f>
        <v>0</v>
      </c>
      <c r="AB82">
        <f>VLOOKUP(C82,'SAP on Google Cloud'!$1:$1048576,10,FALSE)</f>
        <v>0</v>
      </c>
      <c r="AC82">
        <f>VLOOKUP(C82,'Google Cloud VMware Engine'!$1:$1048576,10,FALSE)</f>
        <v>0</v>
      </c>
      <c r="AD82">
        <f>VLOOKUP(C82,'Google Distributed Cloud'!$1:$1048576,10,FALSE)</f>
        <v>0</v>
      </c>
      <c r="AE82">
        <f>VLOOKUP(C82,'Cloud Security'!$1:$1048576,10,FALSE)</f>
        <v>0</v>
      </c>
      <c r="AF82">
        <f>VLOOKUP(C82,'Security Command Center'!$1:$1048576,10,FALSE)</f>
        <v>0</v>
      </c>
      <c r="AG82">
        <f>VLOOKUP(C82,'Security Operations'!$1:$1048576,10,FALSE)</f>
        <v>0</v>
      </c>
      <c r="AH82">
        <f>VLOOKUP(C82,'Google Threat Intelligence'!$1:$1048576,10,FALSE)</f>
        <v>0</v>
      </c>
      <c r="AI82">
        <f>VLOOKUP(C82,'Vertex AI Platform'!$1:$1048576,10,FALSE)</f>
        <v>0</v>
      </c>
      <c r="AJ82">
        <f>VLOOKUP(C82,'AI Applications'!$1:$1048576,10,FALSE)</f>
        <v>0</v>
      </c>
      <c r="AK82">
        <f>VLOOKUP(C82,'Gemini Enterprise'!$1:$1048576,10,FALSE)</f>
        <v>0</v>
      </c>
      <c r="AL82">
        <f>VLOOKUP(C82,'Customer Engagement Suite'!$1:$1048576,10,FALSE)</f>
        <v>0</v>
      </c>
      <c r="AM82">
        <f t="shared" si="1"/>
        <v>0</v>
      </c>
    </row>
    <row r="83" spans="1:39">
      <c r="A83" s="5" t="s">
        <v>295</v>
      </c>
      <c r="B83" s="5" t="s">
        <v>99</v>
      </c>
      <c r="C83" s="14" t="s">
        <v>25</v>
      </c>
      <c r="D83" s="7" t="s">
        <v>115</v>
      </c>
      <c r="E83" s="7" t="s">
        <v>116</v>
      </c>
      <c r="F83" s="7" t="s">
        <v>125</v>
      </c>
      <c r="G83" s="5" t="s">
        <v>102</v>
      </c>
      <c r="H83" s="5" t="s">
        <v>157</v>
      </c>
      <c r="I83" s="7" t="s">
        <v>78</v>
      </c>
      <c r="J83" s="7" t="s">
        <v>79</v>
      </c>
      <c r="K83" s="7" t="s">
        <v>127</v>
      </c>
      <c r="L83" s="6" t="s">
        <v>111</v>
      </c>
      <c r="M83" s="10"/>
      <c r="N83">
        <f>VLOOKUP(C83,BigQuery!$1:$1048576,10,FALSE)</f>
        <v>0</v>
      </c>
      <c r="O83">
        <f>VLOOKUP(C83,Looker!$1:$1048576,10,FALSE)</f>
        <v>10</v>
      </c>
      <c r="P83">
        <f>VLOOKUP(C83,Dataflow!$1:$1048576,10,FALSE)</f>
        <v>0</v>
      </c>
      <c r="Q83">
        <f>VLOOKUP(C83,Dataproc!$1:$1048576,10,FALSE)</f>
        <v>0</v>
      </c>
      <c r="R83">
        <f>VLOOKUP(C83,'Google Kubernetes Engine'!$1:$1048576,10,FALSE)</f>
        <v>0</v>
      </c>
      <c r="S83">
        <f>VLOOKUP(C83,'Apigee API Management'!$1:$1048576,10,FALSE)</f>
        <v>0</v>
      </c>
      <c r="T83">
        <f>VLOOKUP(C83,'Cloud Run'!$1:$1048576,10,FALSE)</f>
        <v>0</v>
      </c>
      <c r="U83">
        <f>VLOOKUP(C83,Workspace!$1:$1048576,10,FALSE)</f>
        <v>5</v>
      </c>
      <c r="V83">
        <f>VLOOKUP(C83,'Cloud SQL'!$1:$1048576,10,FALSE)</f>
        <v>0</v>
      </c>
      <c r="W83">
        <f>VLOOKUP(C83,'AlloyDB for PostgreSQL'!$1:$1048576,10,FALSE)</f>
        <v>0</v>
      </c>
      <c r="X83">
        <f>VLOOKUP(C83,Spanner!$1:$1048576,10,FALSE)</f>
        <v>0</v>
      </c>
      <c r="Y83">
        <f>VLOOKUP(C83,Oracle!$1:$1048576,10,FALSE)</f>
        <v>0</v>
      </c>
      <c r="Z83">
        <f>VLOOKUP(C83,'Google Compute Engine'!$1:$1048576,10,FALSE)</f>
        <v>0</v>
      </c>
      <c r="AA83">
        <f>VLOOKUP(C83,'Google Cloud Networking'!$1:$1048576,10,FALSE)</f>
        <v>0</v>
      </c>
      <c r="AB83">
        <f>VLOOKUP(C83,'SAP on Google Cloud'!$1:$1048576,10,FALSE)</f>
        <v>0</v>
      </c>
      <c r="AC83">
        <f>VLOOKUP(C83,'Google Cloud VMware Engine'!$1:$1048576,10,FALSE)</f>
        <v>0</v>
      </c>
      <c r="AD83">
        <f>VLOOKUP(C83,'Google Distributed Cloud'!$1:$1048576,10,FALSE)</f>
        <v>0</v>
      </c>
      <c r="AE83">
        <f>VLOOKUP(C83,'Cloud Security'!$1:$1048576,10,FALSE)</f>
        <v>0</v>
      </c>
      <c r="AF83">
        <f>VLOOKUP(C83,'Security Command Center'!$1:$1048576,10,FALSE)</f>
        <v>0</v>
      </c>
      <c r="AG83">
        <f>VLOOKUP(C83,'Security Operations'!$1:$1048576,10,FALSE)</f>
        <v>0</v>
      </c>
      <c r="AH83">
        <f>VLOOKUP(C83,'Google Threat Intelligence'!$1:$1048576,10,FALSE)</f>
        <v>0</v>
      </c>
      <c r="AI83">
        <f>VLOOKUP(C83,'Vertex AI Platform'!$1:$1048576,10,FALSE)</f>
        <v>0</v>
      </c>
      <c r="AJ83">
        <f>VLOOKUP(C83,'AI Applications'!$1:$1048576,10,FALSE)</f>
        <v>0</v>
      </c>
      <c r="AK83">
        <f>VLOOKUP(C83,'Gemini Enterprise'!$1:$1048576,10,FALSE)</f>
        <v>0</v>
      </c>
      <c r="AL83">
        <f>VLOOKUP(C83,'Customer Engagement Suite'!$1:$1048576,10,FALSE)</f>
        <v>0</v>
      </c>
      <c r="AM83">
        <f t="shared" si="1"/>
        <v>15</v>
      </c>
    </row>
    <row r="84" spans="1:39">
      <c r="A84" s="5" t="s">
        <v>296</v>
      </c>
      <c r="B84" s="15" t="s">
        <v>99</v>
      </c>
      <c r="C84" s="14" t="s">
        <v>297</v>
      </c>
      <c r="D84" s="16" t="s">
        <v>73</v>
      </c>
      <c r="E84" s="7" t="s">
        <v>74</v>
      </c>
      <c r="F84" s="7" t="s">
        <v>142</v>
      </c>
      <c r="G84" s="5" t="s">
        <v>102</v>
      </c>
      <c r="H84" s="5" t="s">
        <v>103</v>
      </c>
      <c r="I84" s="7" t="s">
        <v>78</v>
      </c>
      <c r="J84" s="7" t="s">
        <v>79</v>
      </c>
      <c r="K84" s="7" t="s">
        <v>87</v>
      </c>
      <c r="L84" s="6" t="s">
        <v>6</v>
      </c>
      <c r="M84" s="10"/>
      <c r="N84">
        <f>VLOOKUP(C84,BigQuery!$1:$1048576,10,FALSE)</f>
        <v>0</v>
      </c>
      <c r="O84">
        <f>VLOOKUP(C84,Looker!$1:$1048576,10,FALSE)</f>
        <v>0</v>
      </c>
      <c r="P84">
        <f>VLOOKUP(C84,Dataflow!$1:$1048576,10,FALSE)</f>
        <v>0</v>
      </c>
      <c r="Q84">
        <f>VLOOKUP(C84,Dataproc!$1:$1048576,10,FALSE)</f>
        <v>0</v>
      </c>
      <c r="R84">
        <f>VLOOKUP(C84,'Google Kubernetes Engine'!$1:$1048576,10,FALSE)</f>
        <v>0</v>
      </c>
      <c r="S84">
        <f>VLOOKUP(C84,'Apigee API Management'!$1:$1048576,10,FALSE)</f>
        <v>0</v>
      </c>
      <c r="T84">
        <f>VLOOKUP(C84,'Cloud Run'!$1:$1048576,10,FALSE)</f>
        <v>0</v>
      </c>
      <c r="U84">
        <f>VLOOKUP(C84,Workspace!$1:$1048576,10,FALSE)</f>
        <v>0</v>
      </c>
      <c r="V84">
        <f>VLOOKUP(C84,'Cloud SQL'!$1:$1048576,10,FALSE)</f>
        <v>0</v>
      </c>
      <c r="W84">
        <f>VLOOKUP(C84,'AlloyDB for PostgreSQL'!$1:$1048576,10,FALSE)</f>
        <v>0</v>
      </c>
      <c r="X84">
        <f>VLOOKUP(C84,Spanner!$1:$1048576,10,FALSE)</f>
        <v>0</v>
      </c>
      <c r="Y84">
        <f>VLOOKUP(C84,Oracle!$1:$1048576,10,FALSE)</f>
        <v>0</v>
      </c>
      <c r="Z84">
        <f>VLOOKUP(C84,'Google Compute Engine'!$1:$1048576,10,FALSE)</f>
        <v>0</v>
      </c>
      <c r="AA84">
        <f>VLOOKUP(C84,'Google Cloud Networking'!$1:$1048576,10,FALSE)</f>
        <v>0</v>
      </c>
      <c r="AB84">
        <f>VLOOKUP(C84,'SAP on Google Cloud'!$1:$1048576,10,FALSE)</f>
        <v>0</v>
      </c>
      <c r="AC84">
        <f>VLOOKUP(C84,'Google Cloud VMware Engine'!$1:$1048576,10,FALSE)</f>
        <v>0</v>
      </c>
      <c r="AD84">
        <f>VLOOKUP(C84,'Google Distributed Cloud'!$1:$1048576,10,FALSE)</f>
        <v>0</v>
      </c>
      <c r="AE84">
        <f>VLOOKUP(C84,'Cloud Security'!$1:$1048576,10,FALSE)</f>
        <v>0</v>
      </c>
      <c r="AF84">
        <f>VLOOKUP(C84,'Security Command Center'!$1:$1048576,10,FALSE)</f>
        <v>0</v>
      </c>
      <c r="AG84">
        <f>VLOOKUP(C84,'Security Operations'!$1:$1048576,10,FALSE)</f>
        <v>0</v>
      </c>
      <c r="AH84">
        <f>VLOOKUP(C84,'Google Threat Intelligence'!$1:$1048576,10,FALSE)</f>
        <v>0</v>
      </c>
      <c r="AI84">
        <f>VLOOKUP(C84,'Vertex AI Platform'!$1:$1048576,10,FALSE)</f>
        <v>0</v>
      </c>
      <c r="AJ84">
        <f>VLOOKUP(C84,'AI Applications'!$1:$1048576,10,FALSE)</f>
        <v>0</v>
      </c>
      <c r="AK84">
        <f>VLOOKUP(C84,'Gemini Enterprise'!$1:$1048576,10,FALSE)</f>
        <v>0</v>
      </c>
      <c r="AL84" t="e">
        <f>VLOOKUP(C84,'Customer Engagement Suite'!$1:$1048576,10,FALSE)</f>
        <v>#N/A</v>
      </c>
      <c r="AM84" t="e">
        <f t="shared" si="1"/>
        <v>#N/A</v>
      </c>
    </row>
    <row r="85" spans="1:39">
      <c r="A85" s="5" t="s">
        <v>298</v>
      </c>
      <c r="B85" s="5" t="s">
        <v>89</v>
      </c>
      <c r="C85" s="17" t="s">
        <v>6</v>
      </c>
      <c r="D85" s="7" t="s">
        <v>105</v>
      </c>
      <c r="E85" s="7" t="s">
        <v>106</v>
      </c>
      <c r="F85" s="7" t="s">
        <v>121</v>
      </c>
      <c r="G85" s="5" t="s">
        <v>76</v>
      </c>
      <c r="H85" s="5" t="s">
        <v>299</v>
      </c>
      <c r="I85" s="7" t="s">
        <v>243</v>
      </c>
      <c r="J85" s="7" t="s">
        <v>86</v>
      </c>
      <c r="K85" s="7" t="s">
        <v>87</v>
      </c>
      <c r="L85" s="6" t="s">
        <v>6</v>
      </c>
      <c r="M85" s="10"/>
      <c r="N85">
        <f>VLOOKUP(C85,BigQuery!$1:$1048576,10,FALSE)</f>
        <v>44</v>
      </c>
      <c r="O85">
        <f>VLOOKUP(C85,Looker!$1:$1048576,10,FALSE)</f>
        <v>19</v>
      </c>
      <c r="P85">
        <f>VLOOKUP(C85,Dataflow!$1:$1048576,10,FALSE)</f>
        <v>34</v>
      </c>
      <c r="Q85">
        <f>VLOOKUP(C85,Dataproc!$1:$1048576,10,FALSE)</f>
        <v>29</v>
      </c>
      <c r="R85">
        <f>VLOOKUP(C85,'Google Kubernetes Engine'!$1:$1048576,10,FALSE)</f>
        <v>14</v>
      </c>
      <c r="S85">
        <f>VLOOKUP(C85,'Apigee API Management'!$1:$1048576,10,FALSE)</f>
        <v>0</v>
      </c>
      <c r="T85">
        <f>VLOOKUP(C85,'Cloud Run'!$1:$1048576,10,FALSE)</f>
        <v>0</v>
      </c>
      <c r="U85">
        <f>VLOOKUP(C85,Workspace!$1:$1048576,10,FALSE)</f>
        <v>0</v>
      </c>
      <c r="V85">
        <f>VLOOKUP(C85,'Cloud SQL'!$1:$1048576,10,FALSE)</f>
        <v>0</v>
      </c>
      <c r="W85">
        <f>VLOOKUP(C85,'AlloyDB for PostgreSQL'!$1:$1048576,10,FALSE)</f>
        <v>0</v>
      </c>
      <c r="X85">
        <f>VLOOKUP(C85,Spanner!$1:$1048576,10,FALSE)</f>
        <v>0</v>
      </c>
      <c r="Y85">
        <f>VLOOKUP(C85,Oracle!$1:$1048576,10,FALSE)</f>
        <v>19</v>
      </c>
      <c r="Z85">
        <f>VLOOKUP(C85,'Google Compute Engine'!$1:$1048576,10,FALSE)</f>
        <v>19</v>
      </c>
      <c r="AA85">
        <f>VLOOKUP(C85,'Google Cloud Networking'!$1:$1048576,10,FALSE)</f>
        <v>0</v>
      </c>
      <c r="AB85">
        <f>VLOOKUP(C85,'SAP on Google Cloud'!$1:$1048576,10,FALSE)</f>
        <v>24</v>
      </c>
      <c r="AC85">
        <f>VLOOKUP(C85,'Google Cloud VMware Engine'!$1:$1048576,10,FALSE)</f>
        <v>19</v>
      </c>
      <c r="AD85">
        <f>VLOOKUP(C85,'Google Distributed Cloud'!$1:$1048576,10,FALSE)</f>
        <v>19</v>
      </c>
      <c r="AE85">
        <f>VLOOKUP(C85,'Cloud Security'!$1:$1048576,10,FALSE)</f>
        <v>0</v>
      </c>
      <c r="AF85">
        <f>VLOOKUP(C85,'Security Command Center'!$1:$1048576,10,FALSE)</f>
        <v>0</v>
      </c>
      <c r="AG85">
        <f>VLOOKUP(C85,'Security Operations'!$1:$1048576,10,FALSE)</f>
        <v>0</v>
      </c>
      <c r="AH85">
        <f>VLOOKUP(C85,'Google Threat Intelligence'!$1:$1048576,10,FALSE)</f>
        <v>0</v>
      </c>
      <c r="AI85">
        <f>VLOOKUP(C85,'Vertex AI Platform'!$1:$1048576,10,FALSE)</f>
        <v>24</v>
      </c>
      <c r="AJ85">
        <f>VLOOKUP(C85,'AI Applications'!$1:$1048576,10,FALSE)</f>
        <v>0</v>
      </c>
      <c r="AK85">
        <f>VLOOKUP(C85,'Gemini Enterprise'!$1:$1048576,10,FALSE)</f>
        <v>0</v>
      </c>
      <c r="AL85">
        <f>VLOOKUP(C85,'Customer Engagement Suite'!$1:$1048576,10,FALSE)</f>
        <v>0</v>
      </c>
      <c r="AM85">
        <f>SUM(N85:AL85)</f>
        <v>264</v>
      </c>
    </row>
    <row r="86" spans="1:39" hidden="1">
      <c r="A86" s="5" t="s">
        <v>300</v>
      </c>
      <c r="B86" s="5" t="s">
        <v>99</v>
      </c>
      <c r="C86" s="6" t="s">
        <v>301</v>
      </c>
      <c r="D86" s="7" t="s">
        <v>302</v>
      </c>
      <c r="E86" s="7" t="s">
        <v>92</v>
      </c>
      <c r="F86" s="7" t="s">
        <v>144</v>
      </c>
      <c r="G86" s="5" t="s">
        <v>102</v>
      </c>
      <c r="H86" s="5" t="s">
        <v>108</v>
      </c>
      <c r="I86" s="7" t="s">
        <v>78</v>
      </c>
      <c r="J86" s="7" t="s">
        <v>137</v>
      </c>
      <c r="K86" s="7" t="s">
        <v>110</v>
      </c>
      <c r="L86" s="6" t="s">
        <v>111</v>
      </c>
      <c r="M86" s="10" t="s">
        <v>145</v>
      </c>
      <c r="N86">
        <f>VLOOKUP(C86,BigQuery!$1:$1048576,10,FALSE)</f>
        <v>0</v>
      </c>
      <c r="O86">
        <f>VLOOKUP(C86,Looker!$1:$1048576,10,FALSE)</f>
        <v>0</v>
      </c>
      <c r="P86">
        <f>VLOOKUP(C86,Dataflow!$1:$1048576,10,FALSE)</f>
        <v>0</v>
      </c>
      <c r="Q86">
        <f>VLOOKUP(C86,Dataproc!$1:$1048576,10,FALSE)</f>
        <v>0</v>
      </c>
      <c r="R86">
        <f>VLOOKUP(C86,'Google Kubernetes Engine'!$1:$1048576,10,FALSE)</f>
        <v>0</v>
      </c>
      <c r="S86">
        <f>VLOOKUP(C86,'Apigee API Management'!$1:$1048576,10,FALSE)</f>
        <v>0</v>
      </c>
      <c r="T86">
        <f>VLOOKUP(C86,'Cloud Run'!$1:$1048576,10,FALSE)</f>
        <v>0</v>
      </c>
      <c r="U86">
        <f>VLOOKUP(C86,Workspace!$1:$1048576,10,FALSE)</f>
        <v>0</v>
      </c>
      <c r="V86">
        <f>VLOOKUP(C86,'Cloud SQL'!$1:$1048576,10,FALSE)</f>
        <v>0</v>
      </c>
      <c r="W86">
        <f>VLOOKUP(C86,'AlloyDB for PostgreSQL'!$1:$1048576,10,FALSE)</f>
        <v>0</v>
      </c>
      <c r="X86">
        <f>VLOOKUP(C86,Spanner!$1:$1048576,10,FALSE)</f>
        <v>0</v>
      </c>
      <c r="Y86">
        <f>VLOOKUP(C86,Oracle!$1:$1048576,10,FALSE)</f>
        <v>0</v>
      </c>
      <c r="Z86">
        <f>VLOOKUP(C86,'Google Compute Engine'!$1:$1048576,10,FALSE)</f>
        <v>0</v>
      </c>
      <c r="AA86">
        <f>VLOOKUP(C86,'Google Cloud Networking'!$1:$1048576,10,FALSE)</f>
        <v>0</v>
      </c>
      <c r="AB86">
        <f>VLOOKUP(C86,'SAP on Google Cloud'!$1:$1048576,10,FALSE)</f>
        <v>0</v>
      </c>
      <c r="AC86">
        <f>VLOOKUP(C86,'Google Cloud VMware Engine'!$1:$1048576,10,FALSE)</f>
        <v>0</v>
      </c>
      <c r="AD86">
        <f>VLOOKUP(C86,'Google Distributed Cloud'!$1:$1048576,10,FALSE)</f>
        <v>0</v>
      </c>
      <c r="AE86">
        <f>VLOOKUP(C86,'Cloud Security'!$1:$1048576,10,FALSE)</f>
        <v>0</v>
      </c>
      <c r="AF86">
        <f>VLOOKUP(C86,'Security Command Center'!$1:$1048576,10,FALSE)</f>
        <v>0</v>
      </c>
      <c r="AG86">
        <f>VLOOKUP(C86,'Security Operations'!$1:$1048576,10,FALSE)</f>
        <v>0</v>
      </c>
      <c r="AH86">
        <f>VLOOKUP(C86,'Google Threat Intelligence'!$1:$1048576,10,FALSE)</f>
        <v>0</v>
      </c>
      <c r="AI86">
        <f>VLOOKUP(C86,'Vertex AI Platform'!$1:$1048576,10,FALSE)</f>
        <v>0</v>
      </c>
      <c r="AJ86">
        <f>VLOOKUP(C86,'AI Applications'!$1:$1048576,10,FALSE)</f>
        <v>0</v>
      </c>
      <c r="AK86">
        <f>VLOOKUP(C86,'Gemini Enterprise'!$1:$1048576,10,FALSE)</f>
        <v>0</v>
      </c>
      <c r="AL86">
        <f>VLOOKUP(C86,'Customer Engagement Suite'!$1:$1048576,10,FALSE)</f>
        <v>0</v>
      </c>
      <c r="AM86">
        <f t="shared" si="1"/>
        <v>0</v>
      </c>
    </row>
    <row r="87" spans="1:39" hidden="1">
      <c r="A87" s="5" t="s">
        <v>303</v>
      </c>
      <c r="B87" s="5" t="s">
        <v>99</v>
      </c>
      <c r="C87" s="6" t="s">
        <v>111</v>
      </c>
      <c r="D87" s="7" t="s">
        <v>119</v>
      </c>
      <c r="E87" s="7" t="s">
        <v>120</v>
      </c>
      <c r="F87" s="7" t="s">
        <v>121</v>
      </c>
      <c r="G87" s="5" t="s">
        <v>102</v>
      </c>
      <c r="H87" s="5" t="s">
        <v>304</v>
      </c>
      <c r="I87" s="7" t="s">
        <v>305</v>
      </c>
      <c r="J87" s="7" t="s">
        <v>306</v>
      </c>
      <c r="K87" s="7" t="s">
        <v>110</v>
      </c>
      <c r="L87" s="6" t="s">
        <v>111</v>
      </c>
      <c r="M87" s="10"/>
      <c r="N87">
        <f>VLOOKUP(C87,BigQuery!$1:$1048576,10,FALSE)</f>
        <v>0</v>
      </c>
      <c r="O87">
        <f>VLOOKUP(C87,Looker!$1:$1048576,10,FALSE)</f>
        <v>0</v>
      </c>
      <c r="P87">
        <f>VLOOKUP(C87,Dataflow!$1:$1048576,10,FALSE)</f>
        <v>0</v>
      </c>
      <c r="Q87">
        <f>VLOOKUP(C87,Dataproc!$1:$1048576,10,FALSE)</f>
        <v>0</v>
      </c>
      <c r="R87">
        <f>VLOOKUP(C87,'Google Kubernetes Engine'!$1:$1048576,10,FALSE)</f>
        <v>0</v>
      </c>
      <c r="S87">
        <f>VLOOKUP(C87,'Apigee API Management'!$1:$1048576,10,FALSE)</f>
        <v>0</v>
      </c>
      <c r="T87">
        <f>VLOOKUP(C87,'Cloud Run'!$1:$1048576,10,FALSE)</f>
        <v>0</v>
      </c>
      <c r="U87">
        <f>VLOOKUP(C87,Workspace!$1:$1048576,10,FALSE)</f>
        <v>0</v>
      </c>
      <c r="V87">
        <f>VLOOKUP(C87,'Cloud SQL'!$1:$1048576,10,FALSE)</f>
        <v>0</v>
      </c>
      <c r="W87">
        <f>VLOOKUP(C87,'AlloyDB for PostgreSQL'!$1:$1048576,10,FALSE)</f>
        <v>0</v>
      </c>
      <c r="X87">
        <f>VLOOKUP(C87,Spanner!$1:$1048576,10,FALSE)</f>
        <v>0</v>
      </c>
      <c r="Y87">
        <f>VLOOKUP(C87,Oracle!$1:$1048576,10,FALSE)</f>
        <v>0</v>
      </c>
      <c r="Z87">
        <f>VLOOKUP(C87,'Google Compute Engine'!$1:$1048576,10,FALSE)</f>
        <v>0</v>
      </c>
      <c r="AA87">
        <f>VLOOKUP(C87,'Google Cloud Networking'!$1:$1048576,10,FALSE)</f>
        <v>0</v>
      </c>
      <c r="AB87">
        <f>VLOOKUP(C87,'SAP on Google Cloud'!$1:$1048576,10,FALSE)</f>
        <v>0</v>
      </c>
      <c r="AC87">
        <f>VLOOKUP(C87,'Google Cloud VMware Engine'!$1:$1048576,10,FALSE)</f>
        <v>0</v>
      </c>
      <c r="AD87">
        <f>VLOOKUP(C87,'Google Distributed Cloud'!$1:$1048576,10,FALSE)</f>
        <v>0</v>
      </c>
      <c r="AE87">
        <f>VLOOKUP(C87,'Cloud Security'!$1:$1048576,10,FALSE)</f>
        <v>0</v>
      </c>
      <c r="AF87">
        <f>VLOOKUP(C87,'Security Command Center'!$1:$1048576,10,FALSE)</f>
        <v>0</v>
      </c>
      <c r="AG87">
        <f>VLOOKUP(C87,'Security Operations'!$1:$1048576,10,FALSE)</f>
        <v>0</v>
      </c>
      <c r="AH87">
        <f>VLOOKUP(C87,'Google Threat Intelligence'!$1:$1048576,10,FALSE)</f>
        <v>0</v>
      </c>
      <c r="AI87">
        <f>VLOOKUP(C87,'Vertex AI Platform'!$1:$1048576,10,FALSE)</f>
        <v>0</v>
      </c>
      <c r="AJ87">
        <f>VLOOKUP(C87,'AI Applications'!$1:$1048576,10,FALSE)</f>
        <v>0</v>
      </c>
      <c r="AK87">
        <f>VLOOKUP(C87,'Gemini Enterprise'!$1:$1048576,10,FALSE)</f>
        <v>0</v>
      </c>
      <c r="AL87">
        <f>VLOOKUP(C87,'Customer Engagement Suite'!$1:$1048576,10,FALSE)</f>
        <v>0</v>
      </c>
      <c r="AM87">
        <f t="shared" si="1"/>
        <v>0</v>
      </c>
    </row>
  </sheetData>
  <autoFilter ref="A1:AM87" xr:uid="{621E1D57-D1E2-40A8-898D-9A5290BDB959}">
    <filterColumn colId="2">
      <filters>
        <filter val="Venkatesh Coimbatore Kanna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topLeftCell="E1" zoomScaleNormal="100" zoomScaleSheetLayoutView="100" workbookViewId="0">
      <selection activeCell="A2" sqref="A2"/>
    </sheetView>
  </sheetViews>
  <sheetFormatPr defaultRowHeight="14.45"/>
  <cols>
    <col min="1" max="3" width="20" customWidth="1"/>
    <col min="4" max="4" width="47.28515625" bestFit="1" customWidth="1"/>
    <col min="5" max="5" width="41.85546875" bestFit="1" customWidth="1"/>
    <col min="6" max="6" width="36.5703125" bestFit="1" customWidth="1"/>
    <col min="7" max="7" width="20" customWidth="1"/>
    <col min="8" max="8" width="43" bestFit="1" customWidth="1"/>
    <col min="9" max="9" width="47.140625" bestFit="1" customWidth="1"/>
    <col min="10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10</v>
      </c>
      <c r="G2">
        <v>0</v>
      </c>
      <c r="H2">
        <v>5</v>
      </c>
      <c r="I2">
        <v>15</v>
      </c>
      <c r="J2">
        <v>34</v>
      </c>
    </row>
    <row r="3" spans="1:10">
      <c r="A3" t="s">
        <v>9</v>
      </c>
      <c r="B3" t="s">
        <v>319</v>
      </c>
      <c r="C3" t="s">
        <v>320</v>
      </c>
      <c r="D3">
        <v>4</v>
      </c>
      <c r="E3">
        <v>0</v>
      </c>
      <c r="F3">
        <v>10</v>
      </c>
      <c r="G3">
        <v>0</v>
      </c>
      <c r="H3">
        <v>10</v>
      </c>
      <c r="I3">
        <v>10</v>
      </c>
      <c r="J3">
        <v>34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2</v>
      </c>
      <c r="E10">
        <v>0</v>
      </c>
      <c r="F10">
        <v>10</v>
      </c>
      <c r="G10">
        <v>0</v>
      </c>
      <c r="H10">
        <v>10</v>
      </c>
      <c r="I10">
        <v>10</v>
      </c>
      <c r="J10">
        <v>32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10</v>
      </c>
      <c r="G12">
        <v>0</v>
      </c>
      <c r="H12">
        <v>15</v>
      </c>
      <c r="I12">
        <v>10</v>
      </c>
      <c r="J12">
        <v>35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10</v>
      </c>
      <c r="G13">
        <v>0</v>
      </c>
      <c r="H13">
        <v>15</v>
      </c>
      <c r="I13">
        <v>15</v>
      </c>
      <c r="J13">
        <v>40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5</v>
      </c>
      <c r="I29">
        <v>0</v>
      </c>
      <c r="J29">
        <v>5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5</v>
      </c>
      <c r="G32">
        <v>0</v>
      </c>
      <c r="H32">
        <v>0</v>
      </c>
      <c r="I32">
        <v>5</v>
      </c>
      <c r="J32">
        <v>10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5</v>
      </c>
      <c r="G34">
        <v>0</v>
      </c>
      <c r="H34">
        <v>0</v>
      </c>
      <c r="I34">
        <v>0</v>
      </c>
      <c r="J34">
        <v>5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5</v>
      </c>
      <c r="F47">
        <v>10</v>
      </c>
      <c r="G47">
        <v>0</v>
      </c>
      <c r="H47">
        <v>10</v>
      </c>
      <c r="I47">
        <v>15</v>
      </c>
      <c r="J47">
        <v>44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5</v>
      </c>
      <c r="G50">
        <v>5</v>
      </c>
      <c r="H50">
        <v>0</v>
      </c>
      <c r="I50">
        <v>15</v>
      </c>
      <c r="J50">
        <v>29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10</v>
      </c>
      <c r="F52">
        <v>0</v>
      </c>
      <c r="G52">
        <v>0</v>
      </c>
      <c r="H52">
        <v>5</v>
      </c>
      <c r="I52">
        <v>5</v>
      </c>
      <c r="J52">
        <v>24</v>
      </c>
    </row>
    <row r="53" spans="1:10">
      <c r="A53" t="s">
        <v>437</v>
      </c>
      <c r="B53" t="s">
        <v>438</v>
      </c>
      <c r="C53" t="s">
        <v>439</v>
      </c>
      <c r="D53">
        <v>3</v>
      </c>
      <c r="E53">
        <v>5</v>
      </c>
      <c r="F53">
        <v>0</v>
      </c>
      <c r="G53">
        <v>0</v>
      </c>
      <c r="H53">
        <v>0</v>
      </c>
      <c r="I53">
        <v>0</v>
      </c>
      <c r="J53">
        <v>8</v>
      </c>
    </row>
    <row r="54" spans="1:10">
      <c r="A54" t="s">
        <v>440</v>
      </c>
      <c r="B54" t="s">
        <v>441</v>
      </c>
      <c r="C54" t="s">
        <v>442</v>
      </c>
      <c r="D54">
        <v>3</v>
      </c>
      <c r="E54">
        <v>0</v>
      </c>
      <c r="F54">
        <v>10</v>
      </c>
      <c r="G54">
        <v>0</v>
      </c>
      <c r="H54">
        <v>5</v>
      </c>
      <c r="I54">
        <v>10</v>
      </c>
      <c r="J54">
        <v>28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15</v>
      </c>
      <c r="I55">
        <v>15</v>
      </c>
      <c r="J55">
        <v>34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5</v>
      </c>
      <c r="I56">
        <v>15</v>
      </c>
      <c r="J56">
        <v>38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4</v>
      </c>
      <c r="E60">
        <v>0</v>
      </c>
      <c r="F60">
        <v>5</v>
      </c>
      <c r="G60">
        <v>0</v>
      </c>
      <c r="H60">
        <v>0</v>
      </c>
      <c r="I60">
        <v>0</v>
      </c>
      <c r="J60">
        <v>9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4</v>
      </c>
      <c r="E66">
        <v>0</v>
      </c>
      <c r="F66">
        <v>5</v>
      </c>
      <c r="G66">
        <v>0</v>
      </c>
      <c r="H66">
        <v>0</v>
      </c>
      <c r="I66">
        <v>5</v>
      </c>
      <c r="J66">
        <v>14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4</v>
      </c>
      <c r="E77">
        <v>5</v>
      </c>
      <c r="F77">
        <v>0</v>
      </c>
      <c r="G77">
        <v>0</v>
      </c>
      <c r="H77">
        <v>0</v>
      </c>
      <c r="I77">
        <v>0</v>
      </c>
      <c r="J77">
        <v>9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3</v>
      </c>
      <c r="E81">
        <v>0</v>
      </c>
      <c r="F81">
        <v>10</v>
      </c>
      <c r="G81">
        <v>0</v>
      </c>
      <c r="H81">
        <v>5</v>
      </c>
      <c r="I81">
        <v>0</v>
      </c>
      <c r="J81">
        <v>18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10</v>
      </c>
      <c r="G98">
        <v>0</v>
      </c>
      <c r="H98">
        <v>10</v>
      </c>
      <c r="I98">
        <v>0</v>
      </c>
      <c r="J98">
        <v>20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4</v>
      </c>
      <c r="E101">
        <v>5</v>
      </c>
      <c r="F101">
        <v>0</v>
      </c>
      <c r="G101">
        <v>0</v>
      </c>
      <c r="H101">
        <v>10</v>
      </c>
      <c r="I101">
        <v>10</v>
      </c>
      <c r="J101">
        <v>29</v>
      </c>
    </row>
    <row r="102" spans="1:10">
      <c r="A102" t="s">
        <v>561</v>
      </c>
      <c r="B102" t="s">
        <v>562</v>
      </c>
      <c r="C102" t="s">
        <v>563</v>
      </c>
      <c r="D102">
        <v>4</v>
      </c>
      <c r="E102">
        <v>20</v>
      </c>
      <c r="F102">
        <v>0</v>
      </c>
      <c r="G102">
        <v>0</v>
      </c>
      <c r="H102">
        <v>0</v>
      </c>
      <c r="I102">
        <v>15</v>
      </c>
      <c r="J102">
        <v>39</v>
      </c>
    </row>
    <row r="103" spans="1:10">
      <c r="A103" t="s">
        <v>564</v>
      </c>
      <c r="B103" t="s">
        <v>565</v>
      </c>
      <c r="C103" t="s">
        <v>566</v>
      </c>
      <c r="D103">
        <v>4</v>
      </c>
      <c r="E103">
        <v>0</v>
      </c>
      <c r="F103">
        <v>10</v>
      </c>
      <c r="G103">
        <v>0</v>
      </c>
      <c r="H103">
        <v>0</v>
      </c>
      <c r="I103">
        <v>5</v>
      </c>
      <c r="J103">
        <v>19</v>
      </c>
    </row>
    <row r="104" spans="1:10">
      <c r="A104" t="s">
        <v>567</v>
      </c>
      <c r="B104" t="s">
        <v>568</v>
      </c>
      <c r="C104" t="s">
        <v>569</v>
      </c>
      <c r="D104">
        <v>4</v>
      </c>
      <c r="E104">
        <v>5</v>
      </c>
      <c r="F104">
        <v>10</v>
      </c>
      <c r="G104">
        <v>0</v>
      </c>
      <c r="H104">
        <v>10</v>
      </c>
      <c r="I104">
        <v>15</v>
      </c>
      <c r="J104">
        <v>44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10</v>
      </c>
      <c r="G106">
        <v>0</v>
      </c>
      <c r="H106">
        <v>10</v>
      </c>
      <c r="I106">
        <v>15</v>
      </c>
      <c r="J106">
        <v>35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10</v>
      </c>
      <c r="G111">
        <v>0</v>
      </c>
      <c r="H111">
        <v>0</v>
      </c>
      <c r="I111">
        <v>0</v>
      </c>
      <c r="J111">
        <v>10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3</v>
      </c>
      <c r="E114">
        <v>0</v>
      </c>
      <c r="F114">
        <v>10</v>
      </c>
      <c r="G114">
        <v>0</v>
      </c>
      <c r="H114">
        <v>10</v>
      </c>
      <c r="I114">
        <v>0</v>
      </c>
      <c r="J114">
        <v>23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5</v>
      </c>
      <c r="I117">
        <v>0</v>
      </c>
      <c r="J117">
        <v>5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>
      <c r="A3" t="s">
        <v>9</v>
      </c>
      <c r="B3" t="s">
        <v>319</v>
      </c>
      <c r="C3" t="s">
        <v>320</v>
      </c>
      <c r="D3">
        <v>4</v>
      </c>
      <c r="E3">
        <v>0</v>
      </c>
      <c r="F3">
        <v>0</v>
      </c>
      <c r="G3">
        <v>0</v>
      </c>
      <c r="H3">
        <v>0</v>
      </c>
      <c r="I3">
        <v>10</v>
      </c>
      <c r="J3">
        <v>14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4</v>
      </c>
      <c r="E8">
        <v>5</v>
      </c>
      <c r="F8">
        <v>0</v>
      </c>
      <c r="G8">
        <v>0</v>
      </c>
      <c r="H8">
        <v>0</v>
      </c>
      <c r="I8">
        <v>5</v>
      </c>
      <c r="J8">
        <v>14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2</v>
      </c>
      <c r="E10">
        <v>0</v>
      </c>
      <c r="F10">
        <v>0</v>
      </c>
      <c r="G10">
        <v>0</v>
      </c>
      <c r="H10">
        <v>0</v>
      </c>
      <c r="I10">
        <v>10</v>
      </c>
      <c r="J10">
        <v>12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10</v>
      </c>
      <c r="J12">
        <v>10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15</v>
      </c>
      <c r="J13">
        <v>15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0</v>
      </c>
      <c r="G47">
        <v>0</v>
      </c>
      <c r="H47">
        <v>0</v>
      </c>
      <c r="I47">
        <v>15</v>
      </c>
      <c r="J47">
        <v>19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3</v>
      </c>
      <c r="E54">
        <v>0</v>
      </c>
      <c r="F54">
        <v>0</v>
      </c>
      <c r="G54">
        <v>0</v>
      </c>
      <c r="H54">
        <v>0</v>
      </c>
      <c r="I54">
        <v>10</v>
      </c>
      <c r="J54">
        <v>13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10</v>
      </c>
      <c r="F55">
        <v>5</v>
      </c>
      <c r="G55">
        <v>0</v>
      </c>
      <c r="H55">
        <v>0</v>
      </c>
      <c r="I55">
        <v>15</v>
      </c>
      <c r="J55">
        <v>34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5</v>
      </c>
      <c r="F56">
        <v>5</v>
      </c>
      <c r="G56">
        <v>5</v>
      </c>
      <c r="H56">
        <v>0</v>
      </c>
      <c r="I56">
        <v>15</v>
      </c>
      <c r="J56">
        <v>33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5</v>
      </c>
      <c r="G73">
        <v>5</v>
      </c>
      <c r="H73">
        <v>0</v>
      </c>
      <c r="I73">
        <v>0</v>
      </c>
      <c r="J73">
        <v>10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4</v>
      </c>
      <c r="E97">
        <v>5</v>
      </c>
      <c r="F97">
        <v>0</v>
      </c>
      <c r="G97">
        <v>0</v>
      </c>
      <c r="H97">
        <v>0</v>
      </c>
      <c r="I97">
        <v>10</v>
      </c>
      <c r="J97">
        <v>19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0</v>
      </c>
      <c r="F98">
        <v>0</v>
      </c>
      <c r="G98">
        <v>0</v>
      </c>
      <c r="H98">
        <v>0</v>
      </c>
      <c r="I98">
        <v>15</v>
      </c>
      <c r="J98">
        <v>19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4</v>
      </c>
      <c r="E100">
        <v>0</v>
      </c>
      <c r="F100">
        <v>0</v>
      </c>
      <c r="G100">
        <v>5</v>
      </c>
      <c r="H100">
        <v>0</v>
      </c>
      <c r="I100">
        <v>15</v>
      </c>
      <c r="J100">
        <v>24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15</v>
      </c>
      <c r="J102">
        <v>15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5</v>
      </c>
      <c r="H107">
        <v>0</v>
      </c>
      <c r="I107">
        <v>0</v>
      </c>
      <c r="J107">
        <v>5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3</v>
      </c>
      <c r="E110">
        <v>0</v>
      </c>
      <c r="F110">
        <v>0</v>
      </c>
      <c r="G110">
        <v>0</v>
      </c>
      <c r="H110">
        <v>5</v>
      </c>
      <c r="I110">
        <v>0</v>
      </c>
      <c r="J110">
        <v>8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5</v>
      </c>
      <c r="H113">
        <v>0</v>
      </c>
      <c r="I113">
        <v>0</v>
      </c>
      <c r="J113">
        <v>5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5</v>
      </c>
      <c r="G2">
        <v>5</v>
      </c>
      <c r="H2">
        <v>5</v>
      </c>
      <c r="I2">
        <v>15</v>
      </c>
      <c r="J2">
        <v>34</v>
      </c>
    </row>
    <row r="3" spans="1:10">
      <c r="A3" t="s">
        <v>9</v>
      </c>
      <c r="B3" t="s">
        <v>319</v>
      </c>
      <c r="C3" t="s">
        <v>320</v>
      </c>
      <c r="D3">
        <v>4</v>
      </c>
      <c r="E3">
        <v>0</v>
      </c>
      <c r="F3">
        <v>5</v>
      </c>
      <c r="G3">
        <v>5</v>
      </c>
      <c r="H3">
        <v>15</v>
      </c>
      <c r="I3">
        <v>10</v>
      </c>
      <c r="J3">
        <v>39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2</v>
      </c>
      <c r="E10">
        <v>0</v>
      </c>
      <c r="F10">
        <v>5</v>
      </c>
      <c r="G10">
        <v>5</v>
      </c>
      <c r="H10">
        <v>15</v>
      </c>
      <c r="I10">
        <v>10</v>
      </c>
      <c r="J10">
        <v>37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5</v>
      </c>
      <c r="G12">
        <v>5</v>
      </c>
      <c r="H12">
        <v>15</v>
      </c>
      <c r="I12">
        <v>10</v>
      </c>
      <c r="J12">
        <v>35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5</v>
      </c>
      <c r="G13">
        <v>5</v>
      </c>
      <c r="H13">
        <v>15</v>
      </c>
      <c r="I13">
        <v>15</v>
      </c>
      <c r="J13">
        <v>40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0</v>
      </c>
      <c r="G15">
        <v>0</v>
      </c>
      <c r="H15">
        <v>5</v>
      </c>
      <c r="I15">
        <v>15</v>
      </c>
      <c r="J15">
        <v>22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5</v>
      </c>
      <c r="G34">
        <v>5</v>
      </c>
      <c r="H34">
        <v>0</v>
      </c>
      <c r="I34">
        <v>0</v>
      </c>
      <c r="J34">
        <v>10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5</v>
      </c>
      <c r="G47">
        <v>5</v>
      </c>
      <c r="H47">
        <v>5</v>
      </c>
      <c r="I47">
        <v>15</v>
      </c>
      <c r="J47">
        <v>34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5</v>
      </c>
      <c r="F52">
        <v>0</v>
      </c>
      <c r="G52">
        <v>0</v>
      </c>
      <c r="H52">
        <v>5</v>
      </c>
      <c r="I52">
        <v>5</v>
      </c>
      <c r="J52">
        <v>19</v>
      </c>
    </row>
    <row r="53" spans="1:10">
      <c r="A53" t="s">
        <v>437</v>
      </c>
      <c r="B53" t="s">
        <v>438</v>
      </c>
      <c r="C53" t="s">
        <v>439</v>
      </c>
      <c r="D53">
        <v>3</v>
      </c>
      <c r="E53">
        <v>5</v>
      </c>
      <c r="F53">
        <v>0</v>
      </c>
      <c r="G53">
        <v>0</v>
      </c>
      <c r="H53">
        <v>0</v>
      </c>
      <c r="I53">
        <v>0</v>
      </c>
      <c r="J53">
        <v>8</v>
      </c>
    </row>
    <row r="54" spans="1:10">
      <c r="A54" t="s">
        <v>440</v>
      </c>
      <c r="B54" t="s">
        <v>441</v>
      </c>
      <c r="C54" t="s">
        <v>442</v>
      </c>
      <c r="D54">
        <v>3</v>
      </c>
      <c r="E54">
        <v>0</v>
      </c>
      <c r="F54">
        <v>5</v>
      </c>
      <c r="G54">
        <v>5</v>
      </c>
      <c r="H54">
        <v>0</v>
      </c>
      <c r="I54">
        <v>10</v>
      </c>
      <c r="J54">
        <v>23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5</v>
      </c>
      <c r="I55">
        <v>15</v>
      </c>
      <c r="J55">
        <v>24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5</v>
      </c>
      <c r="G56">
        <v>5</v>
      </c>
      <c r="H56">
        <v>5</v>
      </c>
      <c r="I56">
        <v>15</v>
      </c>
      <c r="J56">
        <v>33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4</v>
      </c>
      <c r="E77">
        <v>5</v>
      </c>
      <c r="F77">
        <v>0</v>
      </c>
      <c r="G77">
        <v>0</v>
      </c>
      <c r="H77">
        <v>10</v>
      </c>
      <c r="I77">
        <v>0</v>
      </c>
      <c r="J77">
        <v>19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3</v>
      </c>
      <c r="E81">
        <v>0</v>
      </c>
      <c r="F81">
        <v>5</v>
      </c>
      <c r="G81">
        <v>5</v>
      </c>
      <c r="H81">
        <v>5</v>
      </c>
      <c r="I81">
        <v>0</v>
      </c>
      <c r="J81">
        <v>18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5</v>
      </c>
      <c r="G98">
        <v>5</v>
      </c>
      <c r="H98">
        <v>15</v>
      </c>
      <c r="I98">
        <v>0</v>
      </c>
      <c r="J98">
        <v>25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4</v>
      </c>
      <c r="E101">
        <v>0</v>
      </c>
      <c r="F101">
        <v>0</v>
      </c>
      <c r="G101">
        <v>5</v>
      </c>
      <c r="H101">
        <v>10</v>
      </c>
      <c r="I101">
        <v>10</v>
      </c>
      <c r="J101">
        <v>29</v>
      </c>
    </row>
    <row r="102" spans="1:10">
      <c r="A102" t="s">
        <v>561</v>
      </c>
      <c r="B102" t="s">
        <v>562</v>
      </c>
      <c r="C102" t="s">
        <v>563</v>
      </c>
      <c r="D102">
        <v>4</v>
      </c>
      <c r="E102">
        <v>15</v>
      </c>
      <c r="F102">
        <v>0</v>
      </c>
      <c r="G102">
        <v>0</v>
      </c>
      <c r="H102">
        <v>0</v>
      </c>
      <c r="I102">
        <v>15</v>
      </c>
      <c r="J102">
        <v>34</v>
      </c>
    </row>
    <row r="103" spans="1:10">
      <c r="A103" t="s">
        <v>564</v>
      </c>
      <c r="B103" t="s">
        <v>565</v>
      </c>
      <c r="C103" t="s">
        <v>566</v>
      </c>
      <c r="D103">
        <v>4</v>
      </c>
      <c r="E103">
        <v>0</v>
      </c>
      <c r="F103">
        <v>5</v>
      </c>
      <c r="G103">
        <v>5</v>
      </c>
      <c r="H103">
        <v>0</v>
      </c>
      <c r="I103">
        <v>5</v>
      </c>
      <c r="J103">
        <v>19</v>
      </c>
    </row>
    <row r="104" spans="1:10">
      <c r="A104" t="s">
        <v>567</v>
      </c>
      <c r="B104" t="s">
        <v>568</v>
      </c>
      <c r="C104" t="s">
        <v>569</v>
      </c>
      <c r="D104">
        <v>4</v>
      </c>
      <c r="E104">
        <v>5</v>
      </c>
      <c r="F104">
        <v>5</v>
      </c>
      <c r="G104">
        <v>5</v>
      </c>
      <c r="H104">
        <v>5</v>
      </c>
      <c r="I104">
        <v>15</v>
      </c>
      <c r="J104">
        <v>39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5</v>
      </c>
      <c r="G106">
        <v>5</v>
      </c>
      <c r="H106">
        <v>15</v>
      </c>
      <c r="I106">
        <v>15</v>
      </c>
      <c r="J106">
        <v>40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5</v>
      </c>
      <c r="G111">
        <v>5</v>
      </c>
      <c r="H111">
        <v>0</v>
      </c>
      <c r="I111">
        <v>0</v>
      </c>
      <c r="J111">
        <v>10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3</v>
      </c>
      <c r="E114">
        <v>0</v>
      </c>
      <c r="F114">
        <v>5</v>
      </c>
      <c r="G114">
        <v>5</v>
      </c>
      <c r="H114">
        <v>0</v>
      </c>
      <c r="I114">
        <v>0</v>
      </c>
      <c r="J114">
        <v>13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5</v>
      </c>
      <c r="I127">
        <v>0</v>
      </c>
      <c r="J127">
        <v>5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5</v>
      </c>
      <c r="G2">
        <v>0</v>
      </c>
      <c r="H2">
        <v>0</v>
      </c>
      <c r="I2">
        <v>15</v>
      </c>
      <c r="J2">
        <v>24</v>
      </c>
    </row>
    <row r="3" spans="1:10">
      <c r="A3" t="s">
        <v>9</v>
      </c>
      <c r="B3" t="s">
        <v>319</v>
      </c>
      <c r="C3" t="s">
        <v>320</v>
      </c>
      <c r="D3">
        <v>4</v>
      </c>
      <c r="E3">
        <v>0</v>
      </c>
      <c r="F3">
        <v>5</v>
      </c>
      <c r="G3">
        <v>0</v>
      </c>
      <c r="H3">
        <v>5</v>
      </c>
      <c r="I3">
        <v>10</v>
      </c>
      <c r="J3">
        <v>24</v>
      </c>
    </row>
    <row r="4" spans="1:10">
      <c r="A4" t="s">
        <v>321</v>
      </c>
      <c r="B4" t="s">
        <v>322</v>
      </c>
      <c r="C4" t="s">
        <v>323</v>
      </c>
      <c r="D4">
        <v>2</v>
      </c>
      <c r="E4">
        <v>0</v>
      </c>
      <c r="F4">
        <v>5</v>
      </c>
      <c r="G4">
        <v>0</v>
      </c>
      <c r="H4">
        <v>0</v>
      </c>
      <c r="I4">
        <v>5</v>
      </c>
      <c r="J4">
        <v>12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2</v>
      </c>
      <c r="E10">
        <v>0</v>
      </c>
      <c r="F10">
        <v>5</v>
      </c>
      <c r="G10">
        <v>5</v>
      </c>
      <c r="H10">
        <v>5</v>
      </c>
      <c r="I10">
        <v>10</v>
      </c>
      <c r="J10">
        <v>27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5</v>
      </c>
      <c r="G12">
        <v>0</v>
      </c>
      <c r="H12">
        <v>5</v>
      </c>
      <c r="I12">
        <v>10</v>
      </c>
      <c r="J12">
        <v>20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5</v>
      </c>
      <c r="G13">
        <v>0</v>
      </c>
      <c r="H13">
        <v>5</v>
      </c>
      <c r="I13">
        <v>15</v>
      </c>
      <c r="J13">
        <v>25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10</v>
      </c>
      <c r="J14">
        <v>10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5</v>
      </c>
      <c r="G15">
        <v>0</v>
      </c>
      <c r="H15">
        <v>0</v>
      </c>
      <c r="I15">
        <v>15</v>
      </c>
      <c r="J15">
        <v>22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5</v>
      </c>
      <c r="G47">
        <v>0</v>
      </c>
      <c r="H47">
        <v>5</v>
      </c>
      <c r="I47">
        <v>15</v>
      </c>
      <c r="J47">
        <v>29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3</v>
      </c>
      <c r="E54">
        <v>0</v>
      </c>
      <c r="F54">
        <v>5</v>
      </c>
      <c r="G54">
        <v>0</v>
      </c>
      <c r="H54">
        <v>0</v>
      </c>
      <c r="I54">
        <v>10</v>
      </c>
      <c r="J54">
        <v>18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5</v>
      </c>
      <c r="I55">
        <v>15</v>
      </c>
      <c r="J55">
        <v>24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5</v>
      </c>
      <c r="G56">
        <v>0</v>
      </c>
      <c r="H56">
        <v>0</v>
      </c>
      <c r="I56">
        <v>15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4</v>
      </c>
      <c r="E66">
        <v>0</v>
      </c>
      <c r="F66">
        <v>5</v>
      </c>
      <c r="G66">
        <v>0</v>
      </c>
      <c r="H66">
        <v>0</v>
      </c>
      <c r="I66">
        <v>5</v>
      </c>
      <c r="J66">
        <v>14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3</v>
      </c>
      <c r="E81">
        <v>0</v>
      </c>
      <c r="F81">
        <v>5</v>
      </c>
      <c r="G81">
        <v>0</v>
      </c>
      <c r="H81">
        <v>0</v>
      </c>
      <c r="I81">
        <v>0</v>
      </c>
      <c r="J81">
        <v>8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2</v>
      </c>
      <c r="E94">
        <v>0</v>
      </c>
      <c r="F94">
        <v>5</v>
      </c>
      <c r="G94">
        <v>0</v>
      </c>
      <c r="H94">
        <v>0</v>
      </c>
      <c r="I94">
        <v>5</v>
      </c>
      <c r="J94">
        <v>12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5</v>
      </c>
      <c r="G96">
        <v>0</v>
      </c>
      <c r="H96">
        <v>0</v>
      </c>
      <c r="I96">
        <v>0</v>
      </c>
      <c r="J96">
        <v>5</v>
      </c>
    </row>
    <row r="97" spans="1:10">
      <c r="A97" t="s">
        <v>558</v>
      </c>
      <c r="B97" t="s">
        <v>559</v>
      </c>
      <c r="C97" t="s">
        <v>560</v>
      </c>
      <c r="D97">
        <v>4</v>
      </c>
      <c r="E97">
        <v>0</v>
      </c>
      <c r="F97">
        <v>0</v>
      </c>
      <c r="G97">
        <v>0</v>
      </c>
      <c r="H97">
        <v>5</v>
      </c>
      <c r="I97">
        <v>10</v>
      </c>
      <c r="J97">
        <v>19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0</v>
      </c>
      <c r="F98">
        <v>0</v>
      </c>
      <c r="G98">
        <v>0</v>
      </c>
      <c r="H98">
        <v>0</v>
      </c>
      <c r="I98">
        <v>15</v>
      </c>
      <c r="J98">
        <v>19</v>
      </c>
    </row>
    <row r="99" spans="1:10">
      <c r="A99" t="s">
        <v>564</v>
      </c>
      <c r="B99" t="s">
        <v>565</v>
      </c>
      <c r="C99" t="s">
        <v>566</v>
      </c>
      <c r="D99">
        <v>4</v>
      </c>
      <c r="E99">
        <v>0</v>
      </c>
      <c r="F99">
        <v>5</v>
      </c>
      <c r="G99">
        <v>0</v>
      </c>
      <c r="H99">
        <v>0</v>
      </c>
      <c r="I99">
        <v>5</v>
      </c>
      <c r="J99">
        <v>14</v>
      </c>
    </row>
    <row r="100" spans="1:10">
      <c r="A100" t="s">
        <v>567</v>
      </c>
      <c r="B100" t="s">
        <v>568</v>
      </c>
      <c r="C100" t="s">
        <v>569</v>
      </c>
      <c r="D100">
        <v>4</v>
      </c>
      <c r="E100">
        <v>0</v>
      </c>
      <c r="F100">
        <v>5</v>
      </c>
      <c r="G100">
        <v>0</v>
      </c>
      <c r="H100">
        <v>0</v>
      </c>
      <c r="I100">
        <v>15</v>
      </c>
      <c r="J100">
        <v>24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5</v>
      </c>
      <c r="G102">
        <v>0</v>
      </c>
      <c r="H102">
        <v>5</v>
      </c>
      <c r="I102">
        <v>15</v>
      </c>
      <c r="J102">
        <v>25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5</v>
      </c>
      <c r="G107">
        <v>0</v>
      </c>
      <c r="H107">
        <v>0</v>
      </c>
      <c r="I107">
        <v>0</v>
      </c>
      <c r="J107">
        <v>5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3</v>
      </c>
      <c r="E110">
        <v>0</v>
      </c>
      <c r="F110">
        <v>5</v>
      </c>
      <c r="G110">
        <v>0</v>
      </c>
      <c r="H110">
        <v>0</v>
      </c>
      <c r="I110">
        <v>0</v>
      </c>
      <c r="J110">
        <v>8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5</v>
      </c>
      <c r="G130">
        <v>0</v>
      </c>
      <c r="H130">
        <v>0</v>
      </c>
      <c r="I130">
        <v>0</v>
      </c>
      <c r="J130">
        <v>5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5</v>
      </c>
      <c r="G133">
        <v>0</v>
      </c>
      <c r="H133">
        <v>5</v>
      </c>
      <c r="I133">
        <v>0</v>
      </c>
      <c r="J133">
        <v>10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5</v>
      </c>
      <c r="G15">
        <v>0</v>
      </c>
      <c r="H15">
        <v>5</v>
      </c>
      <c r="I15">
        <v>5</v>
      </c>
      <c r="J15">
        <v>17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5</v>
      </c>
      <c r="G47">
        <v>0</v>
      </c>
      <c r="H47">
        <v>0</v>
      </c>
      <c r="I47">
        <v>5</v>
      </c>
      <c r="J47">
        <v>14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4</v>
      </c>
      <c r="E49">
        <v>0</v>
      </c>
      <c r="F49">
        <v>15</v>
      </c>
      <c r="G49">
        <v>0</v>
      </c>
      <c r="H49">
        <v>5</v>
      </c>
      <c r="I49">
        <v>15</v>
      </c>
      <c r="J49">
        <v>39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5</v>
      </c>
      <c r="G50">
        <v>5</v>
      </c>
      <c r="H50">
        <v>0</v>
      </c>
      <c r="I50">
        <v>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15</v>
      </c>
      <c r="G52">
        <v>0</v>
      </c>
      <c r="H52">
        <v>5</v>
      </c>
      <c r="I52">
        <v>15</v>
      </c>
      <c r="J52">
        <v>39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3</v>
      </c>
      <c r="E57">
        <v>0</v>
      </c>
      <c r="F57">
        <v>5</v>
      </c>
      <c r="G57">
        <v>0</v>
      </c>
      <c r="H57">
        <v>0</v>
      </c>
      <c r="I57">
        <v>10</v>
      </c>
      <c r="J57">
        <v>18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5</v>
      </c>
      <c r="G92">
        <v>0</v>
      </c>
      <c r="H92">
        <v>0</v>
      </c>
      <c r="I92">
        <v>0</v>
      </c>
      <c r="J92">
        <v>5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4</v>
      </c>
      <c r="E102">
        <v>5</v>
      </c>
      <c r="F102">
        <v>0</v>
      </c>
      <c r="G102">
        <v>0</v>
      </c>
      <c r="H102">
        <v>0</v>
      </c>
      <c r="I102">
        <v>5</v>
      </c>
      <c r="J102">
        <v>14</v>
      </c>
    </row>
    <row r="103" spans="1:10">
      <c r="A103" t="s">
        <v>564</v>
      </c>
      <c r="B103" t="s">
        <v>565</v>
      </c>
      <c r="C103" t="s">
        <v>566</v>
      </c>
      <c r="D103">
        <v>4</v>
      </c>
      <c r="E103">
        <v>0</v>
      </c>
      <c r="F103">
        <v>5</v>
      </c>
      <c r="G103">
        <v>0</v>
      </c>
      <c r="H103">
        <v>0</v>
      </c>
      <c r="I103">
        <v>15</v>
      </c>
      <c r="J103">
        <v>24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10</v>
      </c>
      <c r="G108">
        <v>0</v>
      </c>
      <c r="H108">
        <v>0</v>
      </c>
      <c r="I108">
        <v>10</v>
      </c>
      <c r="J108">
        <v>20</v>
      </c>
    </row>
    <row r="109" spans="1:10">
      <c r="A109" t="s">
        <v>580</v>
      </c>
      <c r="B109" t="s">
        <v>581</v>
      </c>
      <c r="C109" t="s">
        <v>582</v>
      </c>
      <c r="D109">
        <v>2</v>
      </c>
      <c r="E109">
        <v>0</v>
      </c>
      <c r="F109">
        <v>5</v>
      </c>
      <c r="G109">
        <v>0</v>
      </c>
      <c r="H109">
        <v>0</v>
      </c>
      <c r="I109">
        <v>5</v>
      </c>
      <c r="J109">
        <v>12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10</v>
      </c>
      <c r="G112">
        <v>0</v>
      </c>
      <c r="H112">
        <v>0</v>
      </c>
      <c r="I112">
        <v>0</v>
      </c>
      <c r="J112">
        <v>10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</v>
      </c>
      <c r="J132">
        <v>15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4</v>
      </c>
      <c r="E49">
        <v>0</v>
      </c>
      <c r="F49">
        <v>0</v>
      </c>
      <c r="G49">
        <v>0</v>
      </c>
      <c r="H49">
        <v>0</v>
      </c>
      <c r="I49">
        <v>15</v>
      </c>
      <c r="J49">
        <v>19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0</v>
      </c>
      <c r="G52">
        <v>0</v>
      </c>
      <c r="H52">
        <v>0</v>
      </c>
      <c r="I52">
        <v>15</v>
      </c>
      <c r="J52">
        <v>19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5</v>
      </c>
      <c r="G56">
        <v>10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3</v>
      </c>
      <c r="E57">
        <v>0</v>
      </c>
      <c r="F57">
        <v>0</v>
      </c>
      <c r="G57">
        <v>0</v>
      </c>
      <c r="H57">
        <v>0</v>
      </c>
      <c r="I57">
        <v>10</v>
      </c>
      <c r="J57">
        <v>13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5</v>
      </c>
      <c r="F98">
        <v>0</v>
      </c>
      <c r="G98">
        <v>0</v>
      </c>
      <c r="H98">
        <v>0</v>
      </c>
      <c r="I98">
        <v>5</v>
      </c>
      <c r="J98">
        <v>14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4</v>
      </c>
      <c r="E7">
        <v>0</v>
      </c>
      <c r="F7">
        <v>5</v>
      </c>
      <c r="G7">
        <v>0</v>
      </c>
      <c r="H7">
        <v>5</v>
      </c>
      <c r="I7">
        <v>0</v>
      </c>
      <c r="J7">
        <v>14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4</v>
      </c>
      <c r="E23">
        <v>0</v>
      </c>
      <c r="F23">
        <v>5</v>
      </c>
      <c r="G23">
        <v>0</v>
      </c>
      <c r="H23">
        <v>0</v>
      </c>
      <c r="I23">
        <v>0</v>
      </c>
      <c r="J23">
        <v>9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5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4</v>
      </c>
      <c r="E49">
        <v>0</v>
      </c>
      <c r="F49">
        <v>10</v>
      </c>
      <c r="G49">
        <v>0</v>
      </c>
      <c r="H49">
        <v>10</v>
      </c>
      <c r="I49">
        <v>15</v>
      </c>
      <c r="J49">
        <v>39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15</v>
      </c>
      <c r="G52">
        <v>0</v>
      </c>
      <c r="H52">
        <v>10</v>
      </c>
      <c r="I52">
        <v>15</v>
      </c>
      <c r="J52">
        <v>44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3</v>
      </c>
      <c r="E57">
        <v>0</v>
      </c>
      <c r="F57">
        <v>10</v>
      </c>
      <c r="G57">
        <v>0</v>
      </c>
      <c r="H57">
        <v>5</v>
      </c>
      <c r="I57">
        <v>10</v>
      </c>
      <c r="J57">
        <v>28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5</v>
      </c>
      <c r="I92">
        <v>0</v>
      </c>
      <c r="J92">
        <v>5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4</v>
      </c>
      <c r="E102">
        <v>5</v>
      </c>
      <c r="F102">
        <v>0</v>
      </c>
      <c r="G102">
        <v>0</v>
      </c>
      <c r="H102">
        <v>0</v>
      </c>
      <c r="I102">
        <v>5</v>
      </c>
      <c r="J102">
        <v>14</v>
      </c>
    </row>
    <row r="103" spans="1:10">
      <c r="A103" t="s">
        <v>564</v>
      </c>
      <c r="B103" t="s">
        <v>565</v>
      </c>
      <c r="C103" t="s">
        <v>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15</v>
      </c>
      <c r="G108">
        <v>0</v>
      </c>
      <c r="H108">
        <v>5</v>
      </c>
      <c r="I108">
        <v>10</v>
      </c>
      <c r="J108">
        <v>30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15</v>
      </c>
      <c r="G112">
        <v>0</v>
      </c>
      <c r="H112">
        <v>5</v>
      </c>
      <c r="I112">
        <v>0</v>
      </c>
      <c r="J112">
        <v>20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4</v>
      </c>
      <c r="E7">
        <v>0</v>
      </c>
      <c r="F7">
        <v>5</v>
      </c>
      <c r="G7">
        <v>0</v>
      </c>
      <c r="H7">
        <v>0</v>
      </c>
      <c r="I7">
        <v>0</v>
      </c>
      <c r="J7">
        <v>9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5</v>
      </c>
      <c r="I12">
        <v>5</v>
      </c>
      <c r="J12">
        <v>10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4</v>
      </c>
      <c r="E23">
        <v>0</v>
      </c>
      <c r="F23">
        <v>5</v>
      </c>
      <c r="G23">
        <v>0</v>
      </c>
      <c r="H23">
        <v>0</v>
      </c>
      <c r="I23">
        <v>0</v>
      </c>
      <c r="J23">
        <v>9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5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4</v>
      </c>
      <c r="E49">
        <v>0</v>
      </c>
      <c r="F49">
        <v>5</v>
      </c>
      <c r="G49">
        <v>0</v>
      </c>
      <c r="H49">
        <v>0</v>
      </c>
      <c r="I49">
        <v>5</v>
      </c>
      <c r="J49">
        <v>14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5</v>
      </c>
      <c r="G52">
        <v>0</v>
      </c>
      <c r="H52">
        <v>0</v>
      </c>
      <c r="I52">
        <v>5</v>
      </c>
      <c r="J52">
        <v>14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10</v>
      </c>
      <c r="G56">
        <v>0</v>
      </c>
      <c r="H56">
        <v>0</v>
      </c>
      <c r="I56">
        <v>5</v>
      </c>
      <c r="J56">
        <v>18</v>
      </c>
    </row>
    <row r="57" spans="1:10">
      <c r="A57" t="s">
        <v>449</v>
      </c>
      <c r="B57" t="s">
        <v>450</v>
      </c>
      <c r="C57" t="s">
        <v>451</v>
      </c>
      <c r="D57">
        <v>3</v>
      </c>
      <c r="E57">
        <v>0</v>
      </c>
      <c r="F57">
        <v>5</v>
      </c>
      <c r="G57">
        <v>0</v>
      </c>
      <c r="H57">
        <v>0</v>
      </c>
      <c r="I57">
        <v>5</v>
      </c>
      <c r="J57">
        <v>13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5</v>
      </c>
      <c r="F98">
        <v>0</v>
      </c>
      <c r="G98">
        <v>0</v>
      </c>
      <c r="H98">
        <v>0</v>
      </c>
      <c r="I98">
        <v>5</v>
      </c>
      <c r="J98">
        <v>14</v>
      </c>
    </row>
    <row r="99" spans="1:10">
      <c r="A99" t="s">
        <v>564</v>
      </c>
      <c r="B99" t="s">
        <v>565</v>
      </c>
      <c r="C99" t="s">
        <v>566</v>
      </c>
      <c r="D99">
        <v>4</v>
      </c>
      <c r="E99">
        <v>0</v>
      </c>
      <c r="F99">
        <v>0</v>
      </c>
      <c r="G99">
        <v>0</v>
      </c>
      <c r="H99">
        <v>0</v>
      </c>
      <c r="I99">
        <v>15</v>
      </c>
      <c r="J99">
        <v>19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5</v>
      </c>
      <c r="G104">
        <v>0</v>
      </c>
      <c r="H104">
        <v>0</v>
      </c>
      <c r="I104">
        <v>5</v>
      </c>
      <c r="J104">
        <v>10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5</v>
      </c>
      <c r="G108">
        <v>0</v>
      </c>
      <c r="H108">
        <v>0</v>
      </c>
      <c r="I108">
        <v>0</v>
      </c>
      <c r="J108">
        <v>5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10</v>
      </c>
      <c r="H50">
        <v>0</v>
      </c>
      <c r="I50">
        <v>15</v>
      </c>
      <c r="J50">
        <v>29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0</v>
      </c>
      <c r="G56">
        <v>10</v>
      </c>
      <c r="H56">
        <v>0</v>
      </c>
      <c r="I56">
        <v>5</v>
      </c>
      <c r="J56">
        <v>18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564</v>
      </c>
      <c r="B103" t="s">
        <v>565</v>
      </c>
      <c r="C103" t="s">
        <v>566</v>
      </c>
      <c r="D103">
        <v>4</v>
      </c>
      <c r="E103">
        <v>0</v>
      </c>
      <c r="F103">
        <v>0</v>
      </c>
      <c r="G103">
        <v>10</v>
      </c>
      <c r="H103">
        <v>0</v>
      </c>
      <c r="I103">
        <v>15</v>
      </c>
      <c r="J103">
        <v>29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5</v>
      </c>
      <c r="G50">
        <v>0</v>
      </c>
      <c r="H50">
        <v>0</v>
      </c>
      <c r="I50">
        <v>15</v>
      </c>
      <c r="J50">
        <v>24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5</v>
      </c>
      <c r="G56">
        <v>0</v>
      </c>
      <c r="H56">
        <v>0</v>
      </c>
      <c r="I56">
        <v>5</v>
      </c>
      <c r="J56">
        <v>13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5</v>
      </c>
      <c r="F98">
        <v>0</v>
      </c>
      <c r="G98">
        <v>0</v>
      </c>
      <c r="H98">
        <v>0</v>
      </c>
      <c r="I98">
        <v>5</v>
      </c>
      <c r="J98">
        <v>14</v>
      </c>
    </row>
    <row r="99" spans="1:10">
      <c r="A99" t="s">
        <v>564</v>
      </c>
      <c r="B99" t="s">
        <v>565</v>
      </c>
      <c r="C99" t="s">
        <v>566</v>
      </c>
      <c r="D99">
        <v>4</v>
      </c>
      <c r="E99">
        <v>0</v>
      </c>
      <c r="F99">
        <v>5</v>
      </c>
      <c r="G99">
        <v>0</v>
      </c>
      <c r="H99">
        <v>0</v>
      </c>
      <c r="I99">
        <v>15</v>
      </c>
      <c r="J99">
        <v>24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5</v>
      </c>
      <c r="I13">
        <v>5</v>
      </c>
      <c r="J13">
        <v>10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0</v>
      </c>
      <c r="G47">
        <v>0</v>
      </c>
      <c r="H47">
        <v>10</v>
      </c>
      <c r="I47">
        <v>5</v>
      </c>
      <c r="J47">
        <v>19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4</v>
      </c>
      <c r="E102">
        <v>5</v>
      </c>
      <c r="F102">
        <v>0</v>
      </c>
      <c r="G102">
        <v>0</v>
      </c>
      <c r="H102">
        <v>0</v>
      </c>
      <c r="I102">
        <v>5</v>
      </c>
      <c r="J102">
        <v>14</v>
      </c>
    </row>
    <row r="103" spans="1:10">
      <c r="A103" t="s">
        <v>564</v>
      </c>
      <c r="B103" t="s">
        <v>565</v>
      </c>
      <c r="C103" t="s">
        <v>566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15</v>
      </c>
      <c r="J103">
        <v>19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5</v>
      </c>
      <c r="G56">
        <v>5</v>
      </c>
      <c r="H56">
        <v>0</v>
      </c>
      <c r="I56">
        <v>5</v>
      </c>
      <c r="J56">
        <v>18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5</v>
      </c>
      <c r="G73">
        <v>0</v>
      </c>
      <c r="H73">
        <v>0</v>
      </c>
      <c r="I73">
        <v>0</v>
      </c>
      <c r="J73">
        <v>5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4</v>
      </c>
      <c r="E49">
        <v>0</v>
      </c>
      <c r="F49">
        <v>0</v>
      </c>
      <c r="G49">
        <v>0</v>
      </c>
      <c r="H49">
        <v>5</v>
      </c>
      <c r="I49">
        <v>5</v>
      </c>
      <c r="J49">
        <v>14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0</v>
      </c>
      <c r="G52">
        <v>0</v>
      </c>
      <c r="H52">
        <v>10</v>
      </c>
      <c r="I52">
        <v>5</v>
      </c>
      <c r="J52">
        <v>19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4</v>
      </c>
      <c r="E64">
        <v>0</v>
      </c>
      <c r="F64">
        <v>5</v>
      </c>
      <c r="G64">
        <v>0</v>
      </c>
      <c r="H64">
        <v>0</v>
      </c>
      <c r="I64">
        <v>0</v>
      </c>
      <c r="J64">
        <v>9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4</v>
      </c>
      <c r="E102">
        <v>5</v>
      </c>
      <c r="F102">
        <v>0</v>
      </c>
      <c r="G102">
        <v>0</v>
      </c>
      <c r="H102">
        <v>0</v>
      </c>
      <c r="I102">
        <v>5</v>
      </c>
      <c r="J102">
        <v>14</v>
      </c>
    </row>
    <row r="103" spans="1:10">
      <c r="A103" t="s">
        <v>564</v>
      </c>
      <c r="B103" t="s">
        <v>565</v>
      </c>
      <c r="C103" t="s">
        <v>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567</v>
      </c>
      <c r="B104" t="s">
        <v>568</v>
      </c>
      <c r="C104" t="s">
        <v>569</v>
      </c>
      <c r="D104">
        <v>4</v>
      </c>
      <c r="E104">
        <v>0</v>
      </c>
      <c r="F104">
        <v>5</v>
      </c>
      <c r="G104">
        <v>0</v>
      </c>
      <c r="H104">
        <v>0</v>
      </c>
      <c r="I104">
        <v>5</v>
      </c>
      <c r="J104">
        <v>14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5</v>
      </c>
      <c r="G56">
        <v>10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5</v>
      </c>
      <c r="F98">
        <v>0</v>
      </c>
      <c r="G98">
        <v>0</v>
      </c>
      <c r="H98">
        <v>0</v>
      </c>
      <c r="I98">
        <v>5</v>
      </c>
      <c r="J98">
        <v>14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10</v>
      </c>
      <c r="G56">
        <v>0</v>
      </c>
      <c r="H56">
        <v>0</v>
      </c>
      <c r="I56">
        <v>5</v>
      </c>
      <c r="J56">
        <v>18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564</v>
      </c>
      <c r="B103" t="s">
        <v>565</v>
      </c>
      <c r="C103" t="s">
        <v>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567</v>
      </c>
      <c r="B104" t="s">
        <v>568</v>
      </c>
      <c r="C104" t="s">
        <v>569</v>
      </c>
      <c r="D104">
        <v>4</v>
      </c>
      <c r="E104">
        <v>0</v>
      </c>
      <c r="F104">
        <v>5</v>
      </c>
      <c r="G104">
        <v>0</v>
      </c>
      <c r="H104">
        <v>0</v>
      </c>
      <c r="I104">
        <v>5</v>
      </c>
      <c r="J104">
        <v>14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15</v>
      </c>
      <c r="G2">
        <v>0</v>
      </c>
      <c r="H2">
        <v>15</v>
      </c>
      <c r="I2">
        <v>15</v>
      </c>
      <c r="J2">
        <v>49</v>
      </c>
    </row>
    <row r="3" spans="1:10">
      <c r="A3" t="s">
        <v>9</v>
      </c>
      <c r="B3" t="s">
        <v>319</v>
      </c>
      <c r="C3" t="s">
        <v>320</v>
      </c>
      <c r="D3">
        <v>4</v>
      </c>
      <c r="E3">
        <v>0</v>
      </c>
      <c r="F3">
        <v>0</v>
      </c>
      <c r="G3">
        <v>0</v>
      </c>
      <c r="H3">
        <v>5</v>
      </c>
      <c r="I3">
        <v>5</v>
      </c>
      <c r="J3">
        <v>14</v>
      </c>
    </row>
    <row r="4" spans="1:10">
      <c r="A4" t="s">
        <v>321</v>
      </c>
      <c r="B4" t="s">
        <v>322</v>
      </c>
      <c r="C4" t="s">
        <v>323</v>
      </c>
      <c r="D4">
        <v>2</v>
      </c>
      <c r="E4">
        <v>0</v>
      </c>
      <c r="F4">
        <v>0</v>
      </c>
      <c r="G4">
        <v>0</v>
      </c>
      <c r="H4">
        <v>5</v>
      </c>
      <c r="I4">
        <v>10</v>
      </c>
      <c r="J4">
        <v>17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>
      <c r="A10" t="s">
        <v>338</v>
      </c>
      <c r="B10" t="s">
        <v>339</v>
      </c>
      <c r="C10" t="s">
        <v>340</v>
      </c>
      <c r="D10">
        <v>2</v>
      </c>
      <c r="E10">
        <v>0</v>
      </c>
      <c r="F10">
        <v>0</v>
      </c>
      <c r="G10">
        <v>0</v>
      </c>
      <c r="H10">
        <v>5</v>
      </c>
      <c r="I10">
        <v>5</v>
      </c>
      <c r="J10">
        <v>12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10</v>
      </c>
      <c r="G12">
        <v>0</v>
      </c>
      <c r="H12">
        <v>15</v>
      </c>
      <c r="I12">
        <v>5</v>
      </c>
      <c r="J12">
        <v>30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5</v>
      </c>
      <c r="I13">
        <v>5</v>
      </c>
      <c r="J13">
        <v>10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0</v>
      </c>
      <c r="G15">
        <v>0</v>
      </c>
      <c r="H15">
        <v>10</v>
      </c>
      <c r="I15">
        <v>15</v>
      </c>
      <c r="J15">
        <v>27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10</v>
      </c>
      <c r="H21">
        <v>0</v>
      </c>
      <c r="I21">
        <v>0</v>
      </c>
      <c r="J21">
        <v>10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5</v>
      </c>
      <c r="G32">
        <v>0</v>
      </c>
      <c r="H32">
        <v>0</v>
      </c>
      <c r="I32">
        <v>10</v>
      </c>
      <c r="J32">
        <v>15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10</v>
      </c>
      <c r="I34">
        <v>0</v>
      </c>
      <c r="J34">
        <v>10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15</v>
      </c>
      <c r="G47">
        <v>0</v>
      </c>
      <c r="H47">
        <v>0</v>
      </c>
      <c r="I47">
        <v>5</v>
      </c>
      <c r="J47">
        <v>24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2</v>
      </c>
      <c r="E51">
        <v>0</v>
      </c>
      <c r="F51">
        <v>0</v>
      </c>
      <c r="G51">
        <v>0</v>
      </c>
      <c r="H51">
        <v>5</v>
      </c>
      <c r="I51">
        <v>10</v>
      </c>
      <c r="J51">
        <v>17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15</v>
      </c>
      <c r="G52">
        <v>0</v>
      </c>
      <c r="H52">
        <v>15</v>
      </c>
      <c r="I52">
        <v>15</v>
      </c>
      <c r="J52">
        <v>49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5</v>
      </c>
      <c r="I55">
        <v>15</v>
      </c>
      <c r="J55">
        <v>24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4</v>
      </c>
      <c r="E60">
        <v>0</v>
      </c>
      <c r="F60">
        <v>5</v>
      </c>
      <c r="G60">
        <v>0</v>
      </c>
      <c r="H60">
        <v>0</v>
      </c>
      <c r="I60">
        <v>0</v>
      </c>
      <c r="J60">
        <v>9</v>
      </c>
    </row>
    <row r="61" spans="1:10">
      <c r="A61" t="s">
        <v>461</v>
      </c>
      <c r="B61" t="s">
        <v>462</v>
      </c>
      <c r="C61" t="s">
        <v>463</v>
      </c>
      <c r="D61">
        <v>2</v>
      </c>
      <c r="E61">
        <v>0</v>
      </c>
      <c r="F61">
        <v>0</v>
      </c>
      <c r="G61">
        <v>0</v>
      </c>
      <c r="H61">
        <v>15</v>
      </c>
      <c r="I61">
        <v>10</v>
      </c>
      <c r="J61">
        <v>27</v>
      </c>
    </row>
    <row r="62" spans="1:10">
      <c r="A62" t="s">
        <v>464</v>
      </c>
      <c r="B62" t="s">
        <v>465</v>
      </c>
      <c r="C62" t="s">
        <v>466</v>
      </c>
      <c r="D62">
        <v>4</v>
      </c>
      <c r="E62">
        <v>0</v>
      </c>
      <c r="F62">
        <v>0</v>
      </c>
      <c r="G62">
        <v>0</v>
      </c>
      <c r="H62">
        <v>0</v>
      </c>
      <c r="I62">
        <v>10</v>
      </c>
      <c r="J62">
        <v>14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4</v>
      </c>
      <c r="E66">
        <v>0</v>
      </c>
      <c r="F66">
        <v>5</v>
      </c>
      <c r="G66">
        <v>0</v>
      </c>
      <c r="H66">
        <v>10</v>
      </c>
      <c r="I66">
        <v>10</v>
      </c>
      <c r="J66">
        <v>29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10</v>
      </c>
      <c r="I94">
        <v>0</v>
      </c>
      <c r="J94">
        <v>10</v>
      </c>
    </row>
    <row r="95" spans="1:10">
      <c r="A95" t="s">
        <v>541</v>
      </c>
      <c r="B95" t="s">
        <v>542</v>
      </c>
      <c r="C95" t="s">
        <v>543</v>
      </c>
      <c r="D95">
        <v>2</v>
      </c>
      <c r="E95">
        <v>0</v>
      </c>
      <c r="F95">
        <v>0</v>
      </c>
      <c r="G95">
        <v>0</v>
      </c>
      <c r="H95">
        <v>0</v>
      </c>
      <c r="I95">
        <v>10</v>
      </c>
      <c r="J95">
        <v>12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2</v>
      </c>
      <c r="E97">
        <v>0</v>
      </c>
      <c r="F97">
        <v>15</v>
      </c>
      <c r="G97">
        <v>0</v>
      </c>
      <c r="H97">
        <v>15</v>
      </c>
      <c r="I97">
        <v>10</v>
      </c>
      <c r="J97">
        <v>42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5</v>
      </c>
      <c r="I98">
        <v>0</v>
      </c>
      <c r="J98">
        <v>5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4</v>
      </c>
      <c r="E101">
        <v>0</v>
      </c>
      <c r="F101">
        <v>0</v>
      </c>
      <c r="G101">
        <v>0</v>
      </c>
      <c r="H101">
        <v>5</v>
      </c>
      <c r="I101">
        <v>5</v>
      </c>
      <c r="J101">
        <v>14</v>
      </c>
    </row>
    <row r="102" spans="1:10">
      <c r="A102" t="s">
        <v>561</v>
      </c>
      <c r="B102" t="s">
        <v>562</v>
      </c>
      <c r="C102" t="s">
        <v>563</v>
      </c>
      <c r="D102">
        <v>4</v>
      </c>
      <c r="E102">
        <v>10</v>
      </c>
      <c r="F102">
        <v>0</v>
      </c>
      <c r="G102">
        <v>15</v>
      </c>
      <c r="H102">
        <v>5</v>
      </c>
      <c r="I102">
        <v>5</v>
      </c>
      <c r="J102">
        <v>39</v>
      </c>
    </row>
    <row r="103" spans="1:10">
      <c r="A103" t="s">
        <v>564</v>
      </c>
      <c r="B103" t="s">
        <v>565</v>
      </c>
      <c r="C103" t="s">
        <v>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5</v>
      </c>
      <c r="I106">
        <v>5</v>
      </c>
      <c r="J106">
        <v>10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15</v>
      </c>
      <c r="J109">
        <v>17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5</v>
      </c>
      <c r="G111">
        <v>0</v>
      </c>
      <c r="H111">
        <v>15</v>
      </c>
      <c r="I111">
        <v>0</v>
      </c>
      <c r="J111">
        <v>20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3</v>
      </c>
      <c r="E114">
        <v>0</v>
      </c>
      <c r="F114">
        <v>5</v>
      </c>
      <c r="G114">
        <v>0</v>
      </c>
      <c r="H114">
        <v>15</v>
      </c>
      <c r="I114">
        <v>0</v>
      </c>
      <c r="J114">
        <v>23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10</v>
      </c>
      <c r="J122">
        <v>13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</v>
      </c>
      <c r="J132">
        <v>15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2</v>
      </c>
      <c r="E4">
        <v>0</v>
      </c>
      <c r="F4">
        <v>0</v>
      </c>
      <c r="G4">
        <v>0</v>
      </c>
      <c r="H4">
        <v>0</v>
      </c>
      <c r="I4">
        <v>10</v>
      </c>
      <c r="J4">
        <v>12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10</v>
      </c>
      <c r="J32">
        <v>10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5</v>
      </c>
      <c r="G50">
        <v>5</v>
      </c>
      <c r="H50">
        <v>0</v>
      </c>
      <c r="I50">
        <v>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2</v>
      </c>
      <c r="E51">
        <v>0</v>
      </c>
      <c r="F51">
        <v>0</v>
      </c>
      <c r="G51">
        <v>0</v>
      </c>
      <c r="H51">
        <v>0</v>
      </c>
      <c r="I51">
        <v>10</v>
      </c>
      <c r="J51">
        <v>12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5</v>
      </c>
      <c r="G52">
        <v>10</v>
      </c>
      <c r="H52">
        <v>10</v>
      </c>
      <c r="I52">
        <v>15</v>
      </c>
      <c r="J52">
        <v>44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2</v>
      </c>
      <c r="E61">
        <v>0</v>
      </c>
      <c r="F61">
        <v>0</v>
      </c>
      <c r="G61">
        <v>0</v>
      </c>
      <c r="H61">
        <v>0</v>
      </c>
      <c r="I61">
        <v>10</v>
      </c>
      <c r="J61">
        <v>12</v>
      </c>
    </row>
    <row r="62" spans="1:10">
      <c r="A62" t="s">
        <v>464</v>
      </c>
      <c r="B62" t="s">
        <v>465</v>
      </c>
      <c r="C62" t="s">
        <v>466</v>
      </c>
      <c r="D62">
        <v>4</v>
      </c>
      <c r="E62">
        <v>0</v>
      </c>
      <c r="F62">
        <v>0</v>
      </c>
      <c r="G62">
        <v>0</v>
      </c>
      <c r="H62">
        <v>0</v>
      </c>
      <c r="I62">
        <v>10</v>
      </c>
      <c r="J62">
        <v>14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4</v>
      </c>
      <c r="E66">
        <v>0</v>
      </c>
      <c r="F66">
        <v>0</v>
      </c>
      <c r="G66">
        <v>0</v>
      </c>
      <c r="H66">
        <v>0</v>
      </c>
      <c r="I66">
        <v>10</v>
      </c>
      <c r="J66">
        <v>14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2</v>
      </c>
      <c r="E94">
        <v>0</v>
      </c>
      <c r="F94">
        <v>0</v>
      </c>
      <c r="G94">
        <v>0</v>
      </c>
      <c r="H94">
        <v>0</v>
      </c>
      <c r="I94">
        <v>10</v>
      </c>
      <c r="J94">
        <v>12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5</v>
      </c>
      <c r="F98">
        <v>0</v>
      </c>
      <c r="G98">
        <v>5</v>
      </c>
      <c r="H98">
        <v>0</v>
      </c>
      <c r="I98">
        <v>5</v>
      </c>
      <c r="J98">
        <v>19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15</v>
      </c>
      <c r="J105">
        <v>17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10</v>
      </c>
      <c r="J118">
        <v>13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</v>
      </c>
      <c r="J128">
        <v>15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2</v>
      </c>
      <c r="E4">
        <v>0</v>
      </c>
      <c r="F4">
        <v>0</v>
      </c>
      <c r="G4">
        <v>0</v>
      </c>
      <c r="H4">
        <v>0</v>
      </c>
      <c r="I4">
        <v>10</v>
      </c>
      <c r="J4">
        <v>12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10</v>
      </c>
      <c r="J32">
        <v>10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5</v>
      </c>
      <c r="H50">
        <v>0</v>
      </c>
      <c r="I50">
        <v>5</v>
      </c>
      <c r="J50">
        <v>14</v>
      </c>
    </row>
    <row r="51" spans="1:10">
      <c r="A51" t="s">
        <v>432</v>
      </c>
      <c r="B51" t="s">
        <v>433</v>
      </c>
      <c r="C51" t="s">
        <v>434</v>
      </c>
      <c r="D51">
        <v>2</v>
      </c>
      <c r="E51">
        <v>0</v>
      </c>
      <c r="F51">
        <v>0</v>
      </c>
      <c r="G51">
        <v>0</v>
      </c>
      <c r="H51">
        <v>0</v>
      </c>
      <c r="I51">
        <v>10</v>
      </c>
      <c r="J51">
        <v>12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0</v>
      </c>
      <c r="G52">
        <v>5</v>
      </c>
      <c r="H52">
        <v>0</v>
      </c>
      <c r="I52">
        <v>15</v>
      </c>
      <c r="J52">
        <v>24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5</v>
      </c>
      <c r="G56">
        <v>10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4</v>
      </c>
      <c r="E60">
        <v>0</v>
      </c>
      <c r="F60">
        <v>0</v>
      </c>
      <c r="G60">
        <v>0</v>
      </c>
      <c r="H60">
        <v>5</v>
      </c>
      <c r="I60">
        <v>0</v>
      </c>
      <c r="J60">
        <v>9</v>
      </c>
    </row>
    <row r="61" spans="1:10">
      <c r="A61" t="s">
        <v>461</v>
      </c>
      <c r="B61" t="s">
        <v>462</v>
      </c>
      <c r="C61" t="s">
        <v>463</v>
      </c>
      <c r="D61">
        <v>2</v>
      </c>
      <c r="E61">
        <v>0</v>
      </c>
      <c r="F61">
        <v>0</v>
      </c>
      <c r="G61">
        <v>0</v>
      </c>
      <c r="H61">
        <v>0</v>
      </c>
      <c r="I61">
        <v>10</v>
      </c>
      <c r="J61">
        <v>12</v>
      </c>
    </row>
    <row r="62" spans="1:10">
      <c r="A62" t="s">
        <v>464</v>
      </c>
      <c r="B62" t="s">
        <v>465</v>
      </c>
      <c r="C62" t="s">
        <v>466</v>
      </c>
      <c r="D62">
        <v>4</v>
      </c>
      <c r="E62">
        <v>0</v>
      </c>
      <c r="F62">
        <v>0</v>
      </c>
      <c r="G62">
        <v>0</v>
      </c>
      <c r="H62">
        <v>0</v>
      </c>
      <c r="I62">
        <v>10</v>
      </c>
      <c r="J62">
        <v>14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4</v>
      </c>
      <c r="E66">
        <v>0</v>
      </c>
      <c r="F66">
        <v>0</v>
      </c>
      <c r="G66">
        <v>0</v>
      </c>
      <c r="H66">
        <v>0</v>
      </c>
      <c r="I66">
        <v>10</v>
      </c>
      <c r="J66">
        <v>14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2</v>
      </c>
      <c r="E95">
        <v>0</v>
      </c>
      <c r="F95">
        <v>0</v>
      </c>
      <c r="G95">
        <v>0</v>
      </c>
      <c r="H95">
        <v>0</v>
      </c>
      <c r="I95">
        <v>10</v>
      </c>
      <c r="J95">
        <v>12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2</v>
      </c>
      <c r="E97">
        <v>0</v>
      </c>
      <c r="F97">
        <v>0</v>
      </c>
      <c r="G97">
        <v>0</v>
      </c>
      <c r="H97">
        <v>0</v>
      </c>
      <c r="I97">
        <v>10</v>
      </c>
      <c r="J97">
        <v>12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564</v>
      </c>
      <c r="B103" t="s">
        <v>565</v>
      </c>
      <c r="C103" t="s">
        <v>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15</v>
      </c>
      <c r="J109">
        <v>17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10</v>
      </c>
      <c r="J122">
        <v>13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</v>
      </c>
      <c r="J132">
        <v>15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4</v>
      </c>
      <c r="E2">
        <v>0</v>
      </c>
      <c r="F2">
        <v>0</v>
      </c>
      <c r="G2">
        <v>0</v>
      </c>
      <c r="H2">
        <v>0</v>
      </c>
      <c r="I2">
        <v>15</v>
      </c>
      <c r="J2">
        <v>19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2</v>
      </c>
      <c r="E4">
        <v>0</v>
      </c>
      <c r="F4">
        <v>0</v>
      </c>
      <c r="G4">
        <v>0</v>
      </c>
      <c r="H4">
        <v>0</v>
      </c>
      <c r="I4">
        <v>10</v>
      </c>
      <c r="J4">
        <v>12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4</v>
      </c>
      <c r="E9">
        <v>0</v>
      </c>
      <c r="F9">
        <v>0</v>
      </c>
      <c r="G9">
        <v>0</v>
      </c>
      <c r="H9">
        <v>0</v>
      </c>
      <c r="I9">
        <v>10</v>
      </c>
      <c r="J9">
        <v>14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0</v>
      </c>
      <c r="G15">
        <v>0</v>
      </c>
      <c r="H15">
        <v>0</v>
      </c>
      <c r="I15">
        <v>15</v>
      </c>
      <c r="J15">
        <v>17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10</v>
      </c>
      <c r="J32">
        <v>10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432</v>
      </c>
      <c r="B51" t="s">
        <v>433</v>
      </c>
      <c r="C51" t="s">
        <v>434</v>
      </c>
      <c r="D51">
        <v>2</v>
      </c>
      <c r="E51">
        <v>0</v>
      </c>
      <c r="F51">
        <v>0</v>
      </c>
      <c r="G51">
        <v>0</v>
      </c>
      <c r="H51">
        <v>0</v>
      </c>
      <c r="I51">
        <v>10</v>
      </c>
      <c r="J51">
        <v>12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0</v>
      </c>
      <c r="G52">
        <v>0</v>
      </c>
      <c r="H52">
        <v>0</v>
      </c>
      <c r="I52">
        <v>15</v>
      </c>
      <c r="J52">
        <v>19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5</v>
      </c>
      <c r="I56">
        <v>5</v>
      </c>
      <c r="J56">
        <v>28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4</v>
      </c>
      <c r="E60">
        <v>0</v>
      </c>
      <c r="F60">
        <v>0</v>
      </c>
      <c r="G60">
        <v>0</v>
      </c>
      <c r="H60">
        <v>10</v>
      </c>
      <c r="I60">
        <v>0</v>
      </c>
      <c r="J60">
        <v>14</v>
      </c>
    </row>
    <row r="61" spans="1:10">
      <c r="A61" t="s">
        <v>461</v>
      </c>
      <c r="B61" t="s">
        <v>462</v>
      </c>
      <c r="C61" t="s">
        <v>463</v>
      </c>
      <c r="D61">
        <v>2</v>
      </c>
      <c r="E61">
        <v>0</v>
      </c>
      <c r="F61">
        <v>0</v>
      </c>
      <c r="G61">
        <v>0</v>
      </c>
      <c r="H61">
        <v>0</v>
      </c>
      <c r="I61">
        <v>10</v>
      </c>
      <c r="J61">
        <v>12</v>
      </c>
    </row>
    <row r="62" spans="1:10">
      <c r="A62" t="s">
        <v>464</v>
      </c>
      <c r="B62" t="s">
        <v>465</v>
      </c>
      <c r="C62" t="s">
        <v>466</v>
      </c>
      <c r="D62">
        <v>4</v>
      </c>
      <c r="E62">
        <v>0</v>
      </c>
      <c r="F62">
        <v>0</v>
      </c>
      <c r="G62">
        <v>0</v>
      </c>
      <c r="H62">
        <v>0</v>
      </c>
      <c r="I62">
        <v>10</v>
      </c>
      <c r="J62">
        <v>14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4</v>
      </c>
      <c r="E66">
        <v>0</v>
      </c>
      <c r="F66">
        <v>0</v>
      </c>
      <c r="G66">
        <v>0</v>
      </c>
      <c r="H66">
        <v>0</v>
      </c>
      <c r="I66">
        <v>10</v>
      </c>
      <c r="J66">
        <v>14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2</v>
      </c>
      <c r="E94">
        <v>0</v>
      </c>
      <c r="F94">
        <v>0</v>
      </c>
      <c r="G94">
        <v>0</v>
      </c>
      <c r="H94">
        <v>0</v>
      </c>
      <c r="I94">
        <v>10</v>
      </c>
      <c r="J94">
        <v>12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5</v>
      </c>
      <c r="F98">
        <v>0</v>
      </c>
      <c r="G98">
        <v>0</v>
      </c>
      <c r="H98">
        <v>0</v>
      </c>
      <c r="I98">
        <v>5</v>
      </c>
      <c r="J98">
        <v>14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15</v>
      </c>
      <c r="J105">
        <v>17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10</v>
      </c>
      <c r="J118">
        <v>13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</v>
      </c>
      <c r="J128">
        <v>15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4</v>
      </c>
      <c r="E8">
        <v>0</v>
      </c>
      <c r="F8">
        <v>0</v>
      </c>
      <c r="G8">
        <v>0</v>
      </c>
      <c r="H8">
        <v>0</v>
      </c>
      <c r="I8">
        <v>10</v>
      </c>
      <c r="J8">
        <v>14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5</v>
      </c>
      <c r="G15">
        <v>0</v>
      </c>
      <c r="H15">
        <v>5</v>
      </c>
      <c r="I15">
        <v>5</v>
      </c>
      <c r="J15">
        <v>17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0</v>
      </c>
      <c r="G47">
        <v>0</v>
      </c>
      <c r="H47">
        <v>0</v>
      </c>
      <c r="I47">
        <v>15</v>
      </c>
      <c r="J47">
        <v>19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4</v>
      </c>
      <c r="E49">
        <v>0</v>
      </c>
      <c r="F49">
        <v>5</v>
      </c>
      <c r="G49">
        <v>0</v>
      </c>
      <c r="H49">
        <v>15</v>
      </c>
      <c r="I49">
        <v>5</v>
      </c>
      <c r="J49">
        <v>29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10</v>
      </c>
      <c r="G50">
        <v>0</v>
      </c>
      <c r="H50">
        <v>5</v>
      </c>
      <c r="I50">
        <v>15</v>
      </c>
      <c r="J50">
        <v>34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5</v>
      </c>
      <c r="G52">
        <v>0</v>
      </c>
      <c r="H52">
        <v>10</v>
      </c>
      <c r="I52">
        <v>5</v>
      </c>
      <c r="J52">
        <v>24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4</v>
      </c>
      <c r="E58">
        <v>0</v>
      </c>
      <c r="F58">
        <v>0</v>
      </c>
      <c r="G58">
        <v>0</v>
      </c>
      <c r="H58">
        <v>0</v>
      </c>
      <c r="I58">
        <v>10</v>
      </c>
      <c r="J58">
        <v>14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4</v>
      </c>
      <c r="E64">
        <v>0</v>
      </c>
      <c r="F64">
        <v>0</v>
      </c>
      <c r="G64">
        <v>0</v>
      </c>
      <c r="H64">
        <v>5</v>
      </c>
      <c r="I64">
        <v>0</v>
      </c>
      <c r="J64">
        <v>9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564</v>
      </c>
      <c r="B103" t="s">
        <v>565</v>
      </c>
      <c r="C103" t="s">
        <v>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2</v>
      </c>
      <c r="E109">
        <v>0</v>
      </c>
      <c r="F109">
        <v>5</v>
      </c>
      <c r="G109">
        <v>0</v>
      </c>
      <c r="H109">
        <v>5</v>
      </c>
      <c r="I109">
        <v>5</v>
      </c>
      <c r="J109">
        <v>17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2</v>
      </c>
      <c r="E15">
        <v>0</v>
      </c>
      <c r="F15">
        <v>10</v>
      </c>
      <c r="G15">
        <v>0</v>
      </c>
      <c r="H15">
        <v>10</v>
      </c>
      <c r="I15">
        <v>5</v>
      </c>
      <c r="J15">
        <v>27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4</v>
      </c>
      <c r="E49">
        <v>0</v>
      </c>
      <c r="F49">
        <v>10</v>
      </c>
      <c r="G49">
        <v>0</v>
      </c>
      <c r="H49">
        <v>10</v>
      </c>
      <c r="I49">
        <v>5</v>
      </c>
      <c r="J49">
        <v>29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5</v>
      </c>
      <c r="G50">
        <v>0</v>
      </c>
      <c r="H50">
        <v>15</v>
      </c>
      <c r="I50">
        <v>5</v>
      </c>
      <c r="J50">
        <v>29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4</v>
      </c>
      <c r="E52">
        <v>0</v>
      </c>
      <c r="F52">
        <v>10</v>
      </c>
      <c r="G52">
        <v>0</v>
      </c>
      <c r="H52">
        <v>15</v>
      </c>
      <c r="I52">
        <v>5</v>
      </c>
      <c r="J52">
        <v>34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446</v>
      </c>
      <c r="B56" t="s">
        <v>447</v>
      </c>
      <c r="C56" t="s">
        <v>448</v>
      </c>
      <c r="D56">
        <v>3</v>
      </c>
      <c r="E56">
        <v>0</v>
      </c>
      <c r="F56">
        <v>15</v>
      </c>
      <c r="G56">
        <v>0</v>
      </c>
      <c r="H56">
        <v>0</v>
      </c>
      <c r="I56">
        <v>5</v>
      </c>
      <c r="J56">
        <v>23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4</v>
      </c>
      <c r="E66">
        <v>0</v>
      </c>
      <c r="F66">
        <v>0</v>
      </c>
      <c r="G66">
        <v>0</v>
      </c>
      <c r="H66">
        <v>15</v>
      </c>
      <c r="I66">
        <v>5</v>
      </c>
      <c r="J66">
        <v>24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4</v>
      </c>
      <c r="E98">
        <v>0</v>
      </c>
      <c r="F98">
        <v>0</v>
      </c>
      <c r="G98">
        <v>0</v>
      </c>
      <c r="H98">
        <v>0</v>
      </c>
      <c r="I98">
        <v>15</v>
      </c>
      <c r="J98">
        <v>19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2</v>
      </c>
      <c r="E105">
        <v>0</v>
      </c>
      <c r="F105">
        <v>5</v>
      </c>
      <c r="G105">
        <v>0</v>
      </c>
      <c r="H105">
        <v>5</v>
      </c>
      <c r="I105">
        <v>5</v>
      </c>
      <c r="J105">
        <v>17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4</v>
      </c>
      <c r="E8">
        <v>0</v>
      </c>
      <c r="F8">
        <v>0</v>
      </c>
      <c r="G8">
        <v>0</v>
      </c>
      <c r="H8">
        <v>0</v>
      </c>
      <c r="I8">
        <v>10</v>
      </c>
      <c r="J8">
        <v>14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0</v>
      </c>
      <c r="G47">
        <v>0</v>
      </c>
      <c r="H47">
        <v>5</v>
      </c>
      <c r="I47">
        <v>15</v>
      </c>
      <c r="J47">
        <v>24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4</v>
      </c>
      <c r="E58">
        <v>0</v>
      </c>
      <c r="F58">
        <v>0</v>
      </c>
      <c r="G58">
        <v>0</v>
      </c>
      <c r="H58">
        <v>0</v>
      </c>
      <c r="I58">
        <v>10</v>
      </c>
      <c r="J58">
        <v>14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564</v>
      </c>
      <c r="B103" t="s">
        <v>565</v>
      </c>
      <c r="C103" t="s">
        <v>566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15</v>
      </c>
      <c r="J103">
        <v>19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</v>
      </c>
      <c r="J132">
        <v>15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4</v>
      </c>
      <c r="E8">
        <v>0</v>
      </c>
      <c r="F8">
        <v>0</v>
      </c>
      <c r="G8">
        <v>0</v>
      </c>
      <c r="H8">
        <v>0</v>
      </c>
      <c r="I8">
        <v>10</v>
      </c>
      <c r="J8">
        <v>14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0</v>
      </c>
      <c r="G47">
        <v>0</v>
      </c>
      <c r="H47">
        <v>0</v>
      </c>
      <c r="I47">
        <v>15</v>
      </c>
      <c r="J47">
        <v>19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0</v>
      </c>
      <c r="H50">
        <v>0</v>
      </c>
      <c r="I50">
        <v>15</v>
      </c>
      <c r="J50">
        <v>19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4</v>
      </c>
      <c r="E58">
        <v>0</v>
      </c>
      <c r="F58">
        <v>0</v>
      </c>
      <c r="G58">
        <v>0</v>
      </c>
      <c r="H58">
        <v>0</v>
      </c>
      <c r="I58">
        <v>10</v>
      </c>
      <c r="J58">
        <v>14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541</v>
      </c>
      <c r="B94" t="s">
        <v>542</v>
      </c>
      <c r="C94" t="s">
        <v>543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552</v>
      </c>
      <c r="B95" t="s">
        <v>553</v>
      </c>
      <c r="C95" t="s">
        <v>554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555</v>
      </c>
      <c r="B96" t="s">
        <v>556</v>
      </c>
      <c r="C96" t="s">
        <v>557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558</v>
      </c>
      <c r="B97" t="s">
        <v>559</v>
      </c>
      <c r="C97" t="s">
        <v>560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561</v>
      </c>
      <c r="B98" t="s">
        <v>562</v>
      </c>
      <c r="C98" t="s">
        <v>563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564</v>
      </c>
      <c r="B99" t="s">
        <v>565</v>
      </c>
      <c r="C99" t="s">
        <v>566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567</v>
      </c>
      <c r="B100" t="s">
        <v>568</v>
      </c>
      <c r="C100" t="s">
        <v>569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570</v>
      </c>
      <c r="B101" t="s">
        <v>571</v>
      </c>
      <c r="C101" t="s">
        <v>572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573</v>
      </c>
      <c r="B102" t="s">
        <v>574</v>
      </c>
      <c r="C102" t="s">
        <v>575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 t="s">
        <v>576</v>
      </c>
      <c r="C103" t="s">
        <v>577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13</v>
      </c>
      <c r="B104" t="s">
        <v>578</v>
      </c>
      <c r="C104" t="s">
        <v>579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580</v>
      </c>
      <c r="B105" t="s">
        <v>581</v>
      </c>
      <c r="C105" t="s">
        <v>582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583</v>
      </c>
      <c r="B106" t="s">
        <v>584</v>
      </c>
      <c r="C106" t="s">
        <v>585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18</v>
      </c>
      <c r="B107" t="s">
        <v>586</v>
      </c>
      <c r="C107" t="s">
        <v>587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20</v>
      </c>
      <c r="B108" t="s">
        <v>588</v>
      </c>
      <c r="C108" t="s">
        <v>589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180</v>
      </c>
      <c r="B109" t="s">
        <v>590</v>
      </c>
      <c r="C109" t="s">
        <v>591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12</v>
      </c>
      <c r="B110" t="s">
        <v>592</v>
      </c>
      <c r="C110" t="s">
        <v>593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124</v>
      </c>
      <c r="B111" t="s">
        <v>594</v>
      </c>
      <c r="C111" t="s">
        <v>595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281</v>
      </c>
      <c r="B112" t="s">
        <v>596</v>
      </c>
      <c r="C112" t="s">
        <v>597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27</v>
      </c>
      <c r="B113" t="s">
        <v>598</v>
      </c>
      <c r="C113" t="s">
        <v>599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233</v>
      </c>
      <c r="B114" t="s">
        <v>600</v>
      </c>
      <c r="C114" t="s">
        <v>601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602</v>
      </c>
      <c r="B115" t="s">
        <v>603</v>
      </c>
      <c r="C115" t="s">
        <v>604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605</v>
      </c>
      <c r="B116" t="s">
        <v>606</v>
      </c>
      <c r="C116" t="s">
        <v>607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277</v>
      </c>
      <c r="B117" t="s">
        <v>608</v>
      </c>
      <c r="C117" t="s">
        <v>609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610</v>
      </c>
      <c r="C118" t="s">
        <v>611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240</v>
      </c>
      <c r="B119" t="s">
        <v>612</v>
      </c>
      <c r="C119" t="s">
        <v>613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152</v>
      </c>
      <c r="B120" t="s">
        <v>614</v>
      </c>
      <c r="C120" t="s">
        <v>615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250</v>
      </c>
      <c r="B121" t="s">
        <v>616</v>
      </c>
      <c r="C121" t="s">
        <v>617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273</v>
      </c>
      <c r="B122" t="s">
        <v>618</v>
      </c>
      <c r="C122" t="s">
        <v>619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28</v>
      </c>
      <c r="B123" t="s">
        <v>620</v>
      </c>
      <c r="C123" t="s">
        <v>621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290</v>
      </c>
      <c r="B124" t="s">
        <v>622</v>
      </c>
      <c r="C124" t="s">
        <v>623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218</v>
      </c>
      <c r="B125" t="s">
        <v>624</v>
      </c>
      <c r="C125" t="s">
        <v>625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254</v>
      </c>
      <c r="B126" t="s">
        <v>626</v>
      </c>
      <c r="C126" t="s">
        <v>627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141</v>
      </c>
      <c r="B127" t="s">
        <v>628</v>
      </c>
      <c r="C127" t="s">
        <v>629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11</v>
      </c>
      <c r="B128" t="s">
        <v>630</v>
      </c>
      <c r="C128" t="s">
        <v>631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245</v>
      </c>
      <c r="B129" t="s">
        <v>632</v>
      </c>
      <c r="C129" t="s">
        <v>633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538</v>
      </c>
      <c r="B130" t="s">
        <v>539</v>
      </c>
      <c r="C130" t="s">
        <v>540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544</v>
      </c>
      <c r="B131" t="s">
        <v>545</v>
      </c>
      <c r="C131" t="s">
        <v>546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547</v>
      </c>
      <c r="B132" t="s">
        <v>548</v>
      </c>
      <c r="C132" t="s">
        <v>549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15</v>
      </c>
      <c r="B133" t="s">
        <v>550</v>
      </c>
      <c r="C133" t="s">
        <v>551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33"/>
  <sheetViews>
    <sheetView zoomScaleNormal="100" zoomScaleSheetLayoutView="100" workbookViewId="0"/>
  </sheetViews>
  <sheetFormatPr defaultRowHeight="14.45"/>
  <cols>
    <col min="1" max="10" width="20" customWidth="1"/>
  </cols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7</v>
      </c>
      <c r="B2" t="s">
        <v>317</v>
      </c>
      <c r="C2" t="s">
        <v>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9</v>
      </c>
      <c r="B3" t="s">
        <v>319</v>
      </c>
      <c r="C3" t="s">
        <v>320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321</v>
      </c>
      <c r="B4" t="s">
        <v>322</v>
      </c>
      <c r="C4" t="s">
        <v>323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324</v>
      </c>
      <c r="B5" t="s">
        <v>325</v>
      </c>
      <c r="C5" t="s">
        <v>326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327</v>
      </c>
      <c r="B6" t="s">
        <v>328</v>
      </c>
      <c r="C6" t="s">
        <v>329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330</v>
      </c>
      <c r="B7" t="s">
        <v>331</v>
      </c>
      <c r="C7" t="s">
        <v>332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14</v>
      </c>
      <c r="B8" t="s">
        <v>333</v>
      </c>
      <c r="C8" t="s">
        <v>334</v>
      </c>
      <c r="D8">
        <v>4</v>
      </c>
      <c r="E8">
        <v>0</v>
      </c>
      <c r="F8">
        <v>0</v>
      </c>
      <c r="G8">
        <v>0</v>
      </c>
      <c r="H8">
        <v>0</v>
      </c>
      <c r="I8">
        <v>10</v>
      </c>
      <c r="J8">
        <v>14</v>
      </c>
    </row>
    <row r="9" spans="1:10">
      <c r="A9" t="s">
        <v>335</v>
      </c>
      <c r="B9" t="s">
        <v>336</v>
      </c>
      <c r="C9" t="s">
        <v>337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338</v>
      </c>
      <c r="B10" t="s">
        <v>339</v>
      </c>
      <c r="C10" t="s">
        <v>340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341</v>
      </c>
      <c r="B11" t="s">
        <v>342</v>
      </c>
      <c r="C11" t="s">
        <v>343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344</v>
      </c>
      <c r="B12" t="s">
        <v>345</v>
      </c>
      <c r="C12" t="s">
        <v>346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347</v>
      </c>
      <c r="B13" t="s">
        <v>348</v>
      </c>
      <c r="C13" t="s">
        <v>349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350</v>
      </c>
      <c r="B14" t="s">
        <v>351</v>
      </c>
      <c r="C14" t="s">
        <v>352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353</v>
      </c>
      <c r="B15" t="s">
        <v>354</v>
      </c>
      <c r="C15" t="s">
        <v>355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356</v>
      </c>
      <c r="B16" t="s">
        <v>357</v>
      </c>
      <c r="C16" t="s">
        <v>358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359</v>
      </c>
      <c r="B17" t="s">
        <v>360</v>
      </c>
      <c r="C17" t="s">
        <v>361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265</v>
      </c>
      <c r="B18" t="s">
        <v>362</v>
      </c>
      <c r="C18" t="s">
        <v>363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364</v>
      </c>
      <c r="B19" t="s">
        <v>365</v>
      </c>
      <c r="C19" t="s">
        <v>366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367</v>
      </c>
      <c r="B20" t="s">
        <v>368</v>
      </c>
      <c r="C20" t="s">
        <v>369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24</v>
      </c>
      <c r="B21" t="s">
        <v>370</v>
      </c>
      <c r="C21" t="s">
        <v>371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148</v>
      </c>
      <c r="B22" t="s">
        <v>372</v>
      </c>
      <c r="C22" t="s">
        <v>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23</v>
      </c>
      <c r="B23" t="s">
        <v>374</v>
      </c>
      <c r="C23" t="s">
        <v>375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195</v>
      </c>
      <c r="B24" t="s">
        <v>376</v>
      </c>
      <c r="C24" t="s">
        <v>377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237</v>
      </c>
      <c r="B25" t="s">
        <v>378</v>
      </c>
      <c r="C25" t="s">
        <v>379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26</v>
      </c>
      <c r="B26" t="s">
        <v>380</v>
      </c>
      <c r="C26" t="s">
        <v>381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301</v>
      </c>
      <c r="B27" t="s">
        <v>382</v>
      </c>
      <c r="C27" t="s">
        <v>383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166</v>
      </c>
      <c r="B28" t="s">
        <v>384</v>
      </c>
      <c r="C28" t="s">
        <v>385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29</v>
      </c>
      <c r="B29" t="s">
        <v>386</v>
      </c>
      <c r="C29" t="s">
        <v>387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186</v>
      </c>
      <c r="B30" t="s">
        <v>388</v>
      </c>
      <c r="C30" t="s">
        <v>389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176</v>
      </c>
      <c r="B31" t="s">
        <v>390</v>
      </c>
      <c r="C31" t="s">
        <v>391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16</v>
      </c>
      <c r="B32" t="s">
        <v>392</v>
      </c>
      <c r="C32" t="s">
        <v>393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184</v>
      </c>
      <c r="B33" t="s">
        <v>394</v>
      </c>
      <c r="C33" t="s">
        <v>395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22</v>
      </c>
      <c r="B34" t="s">
        <v>396</v>
      </c>
      <c r="C34" t="s">
        <v>397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205</v>
      </c>
      <c r="B35" t="s">
        <v>398</v>
      </c>
      <c r="C35" t="s">
        <v>399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260</v>
      </c>
      <c r="B36" t="s">
        <v>400</v>
      </c>
      <c r="C36" t="s">
        <v>401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178</v>
      </c>
      <c r="B37" t="s">
        <v>402</v>
      </c>
      <c r="C37" t="s">
        <v>403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193</v>
      </c>
      <c r="B38" t="s">
        <v>404</v>
      </c>
      <c r="C38" t="s">
        <v>405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223</v>
      </c>
      <c r="B39" t="s">
        <v>406</v>
      </c>
      <c r="C39" t="s">
        <v>407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279</v>
      </c>
      <c r="B40" t="s">
        <v>408</v>
      </c>
      <c r="C40" t="s">
        <v>409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209</v>
      </c>
      <c r="B41" t="s">
        <v>410</v>
      </c>
      <c r="C41" t="s">
        <v>411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100</v>
      </c>
      <c r="B42" t="s">
        <v>412</v>
      </c>
      <c r="C42" t="s">
        <v>413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297</v>
      </c>
      <c r="B43" t="s">
        <v>414</v>
      </c>
      <c r="C43" t="s">
        <v>415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130</v>
      </c>
      <c r="B44" t="s">
        <v>416</v>
      </c>
      <c r="C44" t="s">
        <v>417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418</v>
      </c>
      <c r="B45" t="s">
        <v>419</v>
      </c>
      <c r="C45" t="s">
        <v>420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203</v>
      </c>
      <c r="B46" t="s">
        <v>421</v>
      </c>
      <c r="C46" t="s">
        <v>422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6</v>
      </c>
      <c r="B47" t="s">
        <v>423</v>
      </c>
      <c r="C47" t="s">
        <v>424</v>
      </c>
      <c r="D47">
        <v>4</v>
      </c>
      <c r="E47">
        <v>0</v>
      </c>
      <c r="F47">
        <v>0</v>
      </c>
      <c r="G47">
        <v>0</v>
      </c>
      <c r="H47">
        <v>0</v>
      </c>
      <c r="I47">
        <v>15</v>
      </c>
      <c r="J47">
        <v>19</v>
      </c>
    </row>
    <row r="48" spans="1:10">
      <c r="A48" t="s">
        <v>425</v>
      </c>
      <c r="B48" t="s">
        <v>426</v>
      </c>
      <c r="C48" t="s">
        <v>427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8</v>
      </c>
      <c r="B49" t="s">
        <v>428</v>
      </c>
      <c r="C49" t="s">
        <v>429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</v>
      </c>
      <c r="B50" t="s">
        <v>430</v>
      </c>
      <c r="C50" t="s">
        <v>431</v>
      </c>
      <c r="D50">
        <v>4</v>
      </c>
      <c r="E50">
        <v>0</v>
      </c>
      <c r="F50">
        <v>0</v>
      </c>
      <c r="G50">
        <v>5</v>
      </c>
      <c r="H50">
        <v>0</v>
      </c>
      <c r="I50">
        <v>15</v>
      </c>
      <c r="J50">
        <v>24</v>
      </c>
    </row>
    <row r="51" spans="1:10">
      <c r="A51" t="s">
        <v>432</v>
      </c>
      <c r="B51" t="s">
        <v>433</v>
      </c>
      <c r="C51" t="s">
        <v>434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</v>
      </c>
      <c r="B52" t="s">
        <v>435</v>
      </c>
      <c r="C52" t="s">
        <v>436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437</v>
      </c>
      <c r="B53" t="s">
        <v>438</v>
      </c>
      <c r="C53" t="s">
        <v>439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440</v>
      </c>
      <c r="B54" t="s">
        <v>441</v>
      </c>
      <c r="C54" t="s">
        <v>442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443</v>
      </c>
      <c r="B55" t="s">
        <v>444</v>
      </c>
      <c r="C55" t="s">
        <v>445</v>
      </c>
      <c r="D55">
        <v>4</v>
      </c>
      <c r="E55">
        <v>0</v>
      </c>
      <c r="F55">
        <v>0</v>
      </c>
      <c r="G55">
        <v>0</v>
      </c>
      <c r="H55">
        <v>0</v>
      </c>
      <c r="I55">
        <v>15</v>
      </c>
      <c r="J55">
        <v>19</v>
      </c>
    </row>
    <row r="56" spans="1:10">
      <c r="A56" t="s">
        <v>446</v>
      </c>
      <c r="B56" t="s">
        <v>447</v>
      </c>
      <c r="C56" t="s">
        <v>448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449</v>
      </c>
      <c r="B57" t="s">
        <v>450</v>
      </c>
      <c r="C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452</v>
      </c>
      <c r="B58" t="s">
        <v>453</v>
      </c>
      <c r="C58" t="s">
        <v>454</v>
      </c>
      <c r="D58">
        <v>4</v>
      </c>
      <c r="E58">
        <v>0</v>
      </c>
      <c r="F58">
        <v>0</v>
      </c>
      <c r="G58">
        <v>0</v>
      </c>
      <c r="H58">
        <v>0</v>
      </c>
      <c r="I58">
        <v>10</v>
      </c>
      <c r="J58">
        <v>14</v>
      </c>
    </row>
    <row r="59" spans="1:10">
      <c r="A59" t="s">
        <v>455</v>
      </c>
      <c r="B59" t="s">
        <v>456</v>
      </c>
      <c r="C59" t="s">
        <v>457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458</v>
      </c>
      <c r="B60" t="s">
        <v>459</v>
      </c>
      <c r="C60" t="s">
        <v>460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461</v>
      </c>
      <c r="B61" t="s">
        <v>462</v>
      </c>
      <c r="C61" t="s">
        <v>463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464</v>
      </c>
      <c r="B62" t="s">
        <v>465</v>
      </c>
      <c r="C62" t="s">
        <v>466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467</v>
      </c>
      <c r="B63" t="s">
        <v>468</v>
      </c>
      <c r="C63" t="s">
        <v>469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470</v>
      </c>
      <c r="B64" t="s">
        <v>471</v>
      </c>
      <c r="C64" t="s">
        <v>472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473</v>
      </c>
      <c r="B65" t="s">
        <v>474</v>
      </c>
      <c r="C65" t="s">
        <v>475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10</v>
      </c>
      <c r="B66" t="s">
        <v>476</v>
      </c>
      <c r="C66" t="s">
        <v>477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478</v>
      </c>
      <c r="B67" t="s">
        <v>479</v>
      </c>
      <c r="C67" t="s">
        <v>480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90</v>
      </c>
      <c r="B68" t="s">
        <v>481</v>
      </c>
      <c r="C68" t="s">
        <v>482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8</v>
      </c>
      <c r="B69" t="s">
        <v>483</v>
      </c>
      <c r="C69" t="s">
        <v>484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252</v>
      </c>
      <c r="B70" t="s">
        <v>485</v>
      </c>
      <c r="C70" t="s">
        <v>486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487</v>
      </c>
      <c r="B71" t="s">
        <v>488</v>
      </c>
      <c r="C71" t="s">
        <v>489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172</v>
      </c>
      <c r="B72" t="s">
        <v>490</v>
      </c>
      <c r="C72" t="s">
        <v>491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25</v>
      </c>
      <c r="B73" t="s">
        <v>492</v>
      </c>
      <c r="C73" t="s">
        <v>493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285</v>
      </c>
      <c r="B74" t="s">
        <v>494</v>
      </c>
      <c r="C74" t="s">
        <v>495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257</v>
      </c>
      <c r="B75" t="s">
        <v>496</v>
      </c>
      <c r="C75" t="s">
        <v>497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174</v>
      </c>
      <c r="B76" t="s">
        <v>498</v>
      </c>
      <c r="C76" t="s">
        <v>499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21</v>
      </c>
      <c r="B77" t="s">
        <v>500</v>
      </c>
      <c r="C77" t="s">
        <v>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188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152</v>
      </c>
      <c r="B79" t="s">
        <v>504</v>
      </c>
      <c r="C79" t="s">
        <v>505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506</v>
      </c>
      <c r="B80" t="s">
        <v>507</v>
      </c>
      <c r="C80" t="s">
        <v>508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19</v>
      </c>
      <c r="B81" t="s">
        <v>509</v>
      </c>
      <c r="C81" t="s">
        <v>510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268</v>
      </c>
      <c r="B82" t="s">
        <v>511</v>
      </c>
      <c r="C82" t="s">
        <v>512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513</v>
      </c>
      <c r="B83" t="s">
        <v>514</v>
      </c>
      <c r="C83" t="s">
        <v>515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292</v>
      </c>
      <c r="B84" t="s">
        <v>516</v>
      </c>
      <c r="C84" t="s">
        <v>517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72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270</v>
      </c>
      <c r="B86" t="s">
        <v>520</v>
      </c>
      <c r="C86" t="s">
        <v>521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217</v>
      </c>
      <c r="B87" t="s">
        <v>522</v>
      </c>
      <c r="C87" t="s">
        <v>523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235</v>
      </c>
      <c r="B88" t="s">
        <v>524</v>
      </c>
      <c r="C88" t="s">
        <v>525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526</v>
      </c>
      <c r="B89" t="s">
        <v>527</v>
      </c>
      <c r="C89" t="s">
        <v>528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199</v>
      </c>
      <c r="B90" t="s">
        <v>529</v>
      </c>
      <c r="C90" t="s">
        <v>530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169</v>
      </c>
      <c r="B91" t="s">
        <v>531</v>
      </c>
      <c r="C91" t="s">
        <v>532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30</v>
      </c>
      <c r="B92" t="s">
        <v>533</v>
      </c>
      <c r="C92" t="s">
        <v>534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535</v>
      </c>
      <c r="B93" t="s">
        <v>536</v>
      </c>
      <c r="C93" t="s">
        <v>537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538</v>
      </c>
      <c r="B94" t="s">
        <v>539</v>
      </c>
      <c r="C94" t="s">
        <v>540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541</v>
      </c>
      <c r="B95" t="s">
        <v>542</v>
      </c>
      <c r="C95" t="s">
        <v>543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544</v>
      </c>
      <c r="B96" t="s">
        <v>545</v>
      </c>
      <c r="C96" t="s">
        <v>546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547</v>
      </c>
      <c r="B97" t="s">
        <v>548</v>
      </c>
      <c r="C97" t="s">
        <v>549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15</v>
      </c>
      <c r="B98" t="s">
        <v>550</v>
      </c>
      <c r="C98" t="s">
        <v>551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552</v>
      </c>
      <c r="B99" t="s">
        <v>553</v>
      </c>
      <c r="C99" t="s">
        <v>554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555</v>
      </c>
      <c r="B100" t="s">
        <v>556</v>
      </c>
      <c r="C100" t="s">
        <v>557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558</v>
      </c>
      <c r="B101" t="s">
        <v>559</v>
      </c>
      <c r="C101" t="s">
        <v>560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561</v>
      </c>
      <c r="B102" t="s">
        <v>562</v>
      </c>
      <c r="C102" t="s">
        <v>563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564</v>
      </c>
      <c r="B103" t="s">
        <v>565</v>
      </c>
      <c r="C103" t="s">
        <v>566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567</v>
      </c>
      <c r="B104" t="s">
        <v>568</v>
      </c>
      <c r="C104" t="s">
        <v>569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570</v>
      </c>
      <c r="B105" t="s">
        <v>571</v>
      </c>
      <c r="C105" t="s">
        <v>572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573</v>
      </c>
      <c r="B106" t="s">
        <v>574</v>
      </c>
      <c r="C106" t="s">
        <v>575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111</v>
      </c>
      <c r="B107" t="s">
        <v>576</v>
      </c>
      <c r="C107" t="s">
        <v>577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13</v>
      </c>
      <c r="B108" t="s">
        <v>578</v>
      </c>
      <c r="C108" t="s">
        <v>579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580</v>
      </c>
      <c r="B109" t="s">
        <v>581</v>
      </c>
      <c r="C109" t="s">
        <v>582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583</v>
      </c>
      <c r="B110" t="s">
        <v>584</v>
      </c>
      <c r="C110" t="s">
        <v>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18</v>
      </c>
      <c r="B111" t="s">
        <v>586</v>
      </c>
      <c r="C111" t="s">
        <v>587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20</v>
      </c>
      <c r="B112" t="s">
        <v>588</v>
      </c>
      <c r="C112" t="s">
        <v>589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180</v>
      </c>
      <c r="B113" t="s">
        <v>590</v>
      </c>
      <c r="C113" t="s">
        <v>591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</v>
      </c>
      <c r="B114" t="s">
        <v>592</v>
      </c>
      <c r="C114" t="s">
        <v>593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124</v>
      </c>
      <c r="B115" t="s">
        <v>594</v>
      </c>
      <c r="C115" t="s">
        <v>595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281</v>
      </c>
      <c r="B116" t="s">
        <v>596</v>
      </c>
      <c r="C116" t="s">
        <v>597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27</v>
      </c>
      <c r="B117" t="s">
        <v>598</v>
      </c>
      <c r="C117" t="s">
        <v>599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233</v>
      </c>
      <c r="B118" t="s">
        <v>600</v>
      </c>
      <c r="C118" t="s">
        <v>601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602</v>
      </c>
      <c r="B119" t="s">
        <v>603</v>
      </c>
      <c r="C119" t="s">
        <v>604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605</v>
      </c>
      <c r="B120" t="s">
        <v>606</v>
      </c>
      <c r="C120" t="s">
        <v>607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277</v>
      </c>
      <c r="B121" t="s">
        <v>608</v>
      </c>
      <c r="C121" t="s">
        <v>609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</v>
      </c>
      <c r="B122" t="s">
        <v>610</v>
      </c>
      <c r="C122" t="s">
        <v>611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240</v>
      </c>
      <c r="B123" t="s">
        <v>612</v>
      </c>
      <c r="C123" t="s">
        <v>613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152</v>
      </c>
      <c r="B124" t="s">
        <v>614</v>
      </c>
      <c r="C124" t="s">
        <v>615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250</v>
      </c>
      <c r="B125" t="s">
        <v>616</v>
      </c>
      <c r="C125" t="s">
        <v>617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273</v>
      </c>
      <c r="B126" t="s">
        <v>618</v>
      </c>
      <c r="C126" t="s">
        <v>619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28</v>
      </c>
      <c r="B127" t="s">
        <v>620</v>
      </c>
      <c r="C127" t="s">
        <v>621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290</v>
      </c>
      <c r="B128" t="s">
        <v>622</v>
      </c>
      <c r="C128" t="s">
        <v>623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218</v>
      </c>
      <c r="B129" t="s">
        <v>624</v>
      </c>
      <c r="C129" t="s">
        <v>625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254</v>
      </c>
      <c r="B130" t="s">
        <v>626</v>
      </c>
      <c r="C130" t="s">
        <v>627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141</v>
      </c>
      <c r="B131" t="s">
        <v>628</v>
      </c>
      <c r="C131" t="s">
        <v>629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11</v>
      </c>
      <c r="B132" t="s">
        <v>630</v>
      </c>
      <c r="C132" t="s">
        <v>631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245</v>
      </c>
      <c r="B133" t="s">
        <v>632</v>
      </c>
      <c r="C133" t="s">
        <v>633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&amp;L_x000D_&amp;1#&amp;"Aptos"&amp;8&amp;K317100 Sensitivity: Internal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DA6A-2AFF-47AA-B175-1CAA7CE017B7}">
  <dimension ref="A1:J125"/>
  <sheetViews>
    <sheetView workbookViewId="0"/>
  </sheetViews>
  <sheetFormatPr defaultRowHeight="14.45"/>
  <sheetData>
    <row r="1" spans="1:10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 spans="1:10">
      <c r="A2" t="s">
        <v>245</v>
      </c>
      <c r="B2" t="s">
        <v>632</v>
      </c>
      <c r="C2" t="s">
        <v>633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11</v>
      </c>
      <c r="B3" t="s">
        <v>630</v>
      </c>
      <c r="C3" t="s">
        <v>631</v>
      </c>
      <c r="D3">
        <v>0</v>
      </c>
      <c r="E3">
        <v>0</v>
      </c>
      <c r="F3">
        <v>0</v>
      </c>
      <c r="G3">
        <v>0</v>
      </c>
      <c r="H3">
        <v>0</v>
      </c>
      <c r="I3">
        <v>15</v>
      </c>
      <c r="J3">
        <v>15</v>
      </c>
    </row>
    <row r="4" spans="1:10">
      <c r="A4" t="s">
        <v>9</v>
      </c>
      <c r="B4" t="s">
        <v>319</v>
      </c>
      <c r="C4" t="s">
        <v>320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538</v>
      </c>
      <c r="B5" t="s">
        <v>539</v>
      </c>
      <c r="C5" t="s">
        <v>540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541</v>
      </c>
      <c r="B6" t="s">
        <v>542</v>
      </c>
      <c r="C6" t="s">
        <v>543</v>
      </c>
      <c r="D6">
        <v>2</v>
      </c>
      <c r="E6">
        <v>0</v>
      </c>
      <c r="F6">
        <v>0</v>
      </c>
      <c r="G6">
        <v>0</v>
      </c>
      <c r="H6">
        <v>0</v>
      </c>
      <c r="I6">
        <v>10</v>
      </c>
      <c r="J6">
        <v>12</v>
      </c>
    </row>
    <row r="7" spans="1:10">
      <c r="A7" t="s">
        <v>425</v>
      </c>
      <c r="B7" t="s">
        <v>426</v>
      </c>
      <c r="C7" t="s">
        <v>427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321</v>
      </c>
      <c r="B8" t="s">
        <v>322</v>
      </c>
      <c r="C8" t="s">
        <v>323</v>
      </c>
      <c r="D8">
        <v>2</v>
      </c>
      <c r="E8">
        <v>0</v>
      </c>
      <c r="F8">
        <v>0</v>
      </c>
      <c r="G8">
        <v>0</v>
      </c>
      <c r="H8">
        <v>0</v>
      </c>
      <c r="I8">
        <v>10</v>
      </c>
      <c r="J8">
        <v>12</v>
      </c>
    </row>
    <row r="9" spans="1:10">
      <c r="A9" t="s">
        <v>324</v>
      </c>
      <c r="B9" t="s">
        <v>325</v>
      </c>
      <c r="C9" t="s">
        <v>326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544</v>
      </c>
      <c r="B10" t="s">
        <v>545</v>
      </c>
      <c r="C10" t="s">
        <v>546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327</v>
      </c>
      <c r="B11" t="s">
        <v>328</v>
      </c>
      <c r="C11" t="s">
        <v>329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547</v>
      </c>
      <c r="B12" t="s">
        <v>548</v>
      </c>
      <c r="C12" t="s">
        <v>549</v>
      </c>
      <c r="D12">
        <v>2</v>
      </c>
      <c r="E12">
        <v>0</v>
      </c>
      <c r="F12">
        <v>0</v>
      </c>
      <c r="G12">
        <v>0</v>
      </c>
      <c r="H12">
        <v>0</v>
      </c>
      <c r="I12">
        <v>10</v>
      </c>
      <c r="J12">
        <v>12</v>
      </c>
    </row>
    <row r="13" spans="1:10">
      <c r="A13" t="s">
        <v>8</v>
      </c>
      <c r="B13" t="s">
        <v>428</v>
      </c>
      <c r="C13" t="s">
        <v>429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5</v>
      </c>
      <c r="B14" t="s">
        <v>430</v>
      </c>
      <c r="C14" t="s">
        <v>431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15</v>
      </c>
      <c r="B15" t="s">
        <v>550</v>
      </c>
      <c r="C15" t="s">
        <v>551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330</v>
      </c>
      <c r="B16" t="s">
        <v>331</v>
      </c>
      <c r="C16" t="s">
        <v>332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432</v>
      </c>
      <c r="B17" t="s">
        <v>433</v>
      </c>
      <c r="C17" t="s">
        <v>434</v>
      </c>
      <c r="D17">
        <v>2</v>
      </c>
      <c r="E17">
        <v>0</v>
      </c>
      <c r="F17">
        <v>0</v>
      </c>
      <c r="G17">
        <v>0</v>
      </c>
      <c r="H17">
        <v>0</v>
      </c>
      <c r="I17">
        <v>10</v>
      </c>
      <c r="J17">
        <v>12</v>
      </c>
    </row>
    <row r="18" spans="1:10">
      <c r="A18" t="s">
        <v>4</v>
      </c>
      <c r="B18" t="s">
        <v>435</v>
      </c>
      <c r="C18" t="s">
        <v>436</v>
      </c>
      <c r="D18">
        <v>4</v>
      </c>
      <c r="E18">
        <v>0</v>
      </c>
      <c r="F18">
        <v>0</v>
      </c>
      <c r="G18">
        <v>0</v>
      </c>
      <c r="H18">
        <v>0</v>
      </c>
      <c r="I18">
        <v>15</v>
      </c>
      <c r="J18">
        <v>19</v>
      </c>
    </row>
    <row r="19" spans="1:10">
      <c r="A19" t="s">
        <v>552</v>
      </c>
      <c r="B19" t="s">
        <v>553</v>
      </c>
      <c r="C19" t="s">
        <v>554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555</v>
      </c>
      <c r="B20" t="s">
        <v>556</v>
      </c>
      <c r="C20" t="s">
        <v>557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437</v>
      </c>
      <c r="B21" t="s">
        <v>438</v>
      </c>
      <c r="C21" t="s">
        <v>439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14</v>
      </c>
      <c r="B22" t="s">
        <v>333</v>
      </c>
      <c r="C22" t="s">
        <v>334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335</v>
      </c>
      <c r="B23" t="s">
        <v>336</v>
      </c>
      <c r="C23" t="s">
        <v>337</v>
      </c>
      <c r="D23">
        <v>4</v>
      </c>
      <c r="E23">
        <v>0</v>
      </c>
      <c r="F23">
        <v>0</v>
      </c>
      <c r="G23">
        <v>0</v>
      </c>
      <c r="H23">
        <v>0</v>
      </c>
      <c r="I23">
        <v>10</v>
      </c>
      <c r="J23">
        <v>14</v>
      </c>
    </row>
    <row r="24" spans="1:10">
      <c r="A24" t="s">
        <v>558</v>
      </c>
      <c r="B24" t="s">
        <v>559</v>
      </c>
      <c r="C24" t="s">
        <v>560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">
        <v>440</v>
      </c>
      <c r="B25" t="s">
        <v>441</v>
      </c>
      <c r="C25" t="s">
        <v>442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443</v>
      </c>
      <c r="B26" t="s">
        <v>444</v>
      </c>
      <c r="C26" t="s">
        <v>445</v>
      </c>
      <c r="D26">
        <v>4</v>
      </c>
      <c r="E26">
        <v>0</v>
      </c>
      <c r="F26">
        <v>0</v>
      </c>
      <c r="G26">
        <v>0</v>
      </c>
      <c r="H26">
        <v>0</v>
      </c>
      <c r="I26">
        <v>15</v>
      </c>
      <c r="J26">
        <v>19</v>
      </c>
    </row>
    <row r="27" spans="1:10">
      <c r="A27" t="s">
        <v>561</v>
      </c>
      <c r="B27" t="s">
        <v>562</v>
      </c>
      <c r="C27" t="s">
        <v>563</v>
      </c>
      <c r="D27">
        <v>4</v>
      </c>
      <c r="E27">
        <v>5</v>
      </c>
      <c r="F27">
        <v>0</v>
      </c>
      <c r="G27">
        <v>0</v>
      </c>
      <c r="H27">
        <v>0</v>
      </c>
      <c r="I27">
        <v>5</v>
      </c>
      <c r="J27">
        <v>14</v>
      </c>
    </row>
    <row r="28" spans="1:10">
      <c r="A28" t="s">
        <v>338</v>
      </c>
      <c r="B28" t="s">
        <v>339</v>
      </c>
      <c r="C28" t="s">
        <v>340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564</v>
      </c>
      <c r="B29" t="s">
        <v>565</v>
      </c>
      <c r="C29" t="s">
        <v>566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567</v>
      </c>
      <c r="B30" t="s">
        <v>568</v>
      </c>
      <c r="C30" t="s">
        <v>569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341</v>
      </c>
      <c r="B31" t="s">
        <v>342</v>
      </c>
      <c r="C31" t="s">
        <v>343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446</v>
      </c>
      <c r="B32" t="s">
        <v>447</v>
      </c>
      <c r="C32" t="s">
        <v>448</v>
      </c>
      <c r="D32">
        <v>3</v>
      </c>
      <c r="E32">
        <v>0</v>
      </c>
      <c r="F32">
        <v>15</v>
      </c>
      <c r="G32">
        <v>0</v>
      </c>
      <c r="H32">
        <v>5</v>
      </c>
      <c r="I32">
        <v>5</v>
      </c>
      <c r="J32">
        <v>28</v>
      </c>
    </row>
    <row r="33" spans="1:10">
      <c r="A33" t="s">
        <v>344</v>
      </c>
      <c r="B33" t="s">
        <v>345</v>
      </c>
      <c r="C33" t="s">
        <v>346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449</v>
      </c>
      <c r="B34" t="s">
        <v>450</v>
      </c>
      <c r="C34" t="s">
        <v>451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570</v>
      </c>
      <c r="B35" t="s">
        <v>571</v>
      </c>
      <c r="C35" t="s">
        <v>572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452</v>
      </c>
      <c r="B36" t="s">
        <v>453</v>
      </c>
      <c r="C36" t="s">
        <v>454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347</v>
      </c>
      <c r="B37" t="s">
        <v>348</v>
      </c>
      <c r="C37" t="s">
        <v>349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573</v>
      </c>
      <c r="B38" t="s">
        <v>574</v>
      </c>
      <c r="C38" t="s">
        <v>575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350</v>
      </c>
      <c r="B39" t="s">
        <v>351</v>
      </c>
      <c r="C39" t="s">
        <v>352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353</v>
      </c>
      <c r="B40" t="s">
        <v>354</v>
      </c>
      <c r="C40" t="s">
        <v>355</v>
      </c>
      <c r="D40">
        <v>2</v>
      </c>
      <c r="E40">
        <v>0</v>
      </c>
      <c r="F40">
        <v>0</v>
      </c>
      <c r="G40">
        <v>0</v>
      </c>
      <c r="H40">
        <v>0</v>
      </c>
      <c r="I40">
        <v>15</v>
      </c>
      <c r="J40">
        <v>17</v>
      </c>
    </row>
    <row r="41" spans="1:10">
      <c r="A41" t="s">
        <v>455</v>
      </c>
      <c r="B41" t="s">
        <v>456</v>
      </c>
      <c r="C41" t="s">
        <v>457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458</v>
      </c>
      <c r="B42" t="s">
        <v>459</v>
      </c>
      <c r="C42" t="s">
        <v>460</v>
      </c>
      <c r="D42">
        <v>4</v>
      </c>
      <c r="E42">
        <v>0</v>
      </c>
      <c r="F42">
        <v>0</v>
      </c>
      <c r="G42">
        <v>0</v>
      </c>
      <c r="H42">
        <v>10</v>
      </c>
      <c r="I42">
        <v>0</v>
      </c>
      <c r="J42">
        <v>14</v>
      </c>
    </row>
    <row r="43" spans="1:10">
      <c r="A43" t="s">
        <v>461</v>
      </c>
      <c r="B43" t="s">
        <v>462</v>
      </c>
      <c r="C43" t="s">
        <v>463</v>
      </c>
      <c r="D43">
        <v>2</v>
      </c>
      <c r="E43">
        <v>0</v>
      </c>
      <c r="F43">
        <v>0</v>
      </c>
      <c r="G43">
        <v>0</v>
      </c>
      <c r="H43">
        <v>0</v>
      </c>
      <c r="I43">
        <v>10</v>
      </c>
      <c r="J43">
        <v>12</v>
      </c>
    </row>
    <row r="44" spans="1:10">
      <c r="A44" t="s">
        <v>356</v>
      </c>
      <c r="B44" t="s">
        <v>357</v>
      </c>
      <c r="C44" t="s">
        <v>358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464</v>
      </c>
      <c r="B45" t="s">
        <v>465</v>
      </c>
      <c r="C45" t="s">
        <v>466</v>
      </c>
      <c r="D45">
        <v>4</v>
      </c>
      <c r="E45">
        <v>0</v>
      </c>
      <c r="F45">
        <v>0</v>
      </c>
      <c r="G45">
        <v>0</v>
      </c>
      <c r="H45">
        <v>0</v>
      </c>
      <c r="I45">
        <v>10</v>
      </c>
      <c r="J45">
        <v>14</v>
      </c>
    </row>
    <row r="46" spans="1:10">
      <c r="A46" t="s">
        <v>467</v>
      </c>
      <c r="B46" t="s">
        <v>468</v>
      </c>
      <c r="C46" t="s">
        <v>469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470</v>
      </c>
      <c r="B47" t="s">
        <v>471</v>
      </c>
      <c r="C47" t="s">
        <v>472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359</v>
      </c>
      <c r="B48" t="s">
        <v>360</v>
      </c>
      <c r="C48" t="s">
        <v>361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265</v>
      </c>
      <c r="B49" t="s">
        <v>362</v>
      </c>
      <c r="C49" t="s">
        <v>363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364</v>
      </c>
      <c r="B50" t="s">
        <v>365</v>
      </c>
      <c r="C50" t="s">
        <v>366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367</v>
      </c>
      <c r="B51" t="s">
        <v>368</v>
      </c>
      <c r="C51" t="s">
        <v>369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473</v>
      </c>
      <c r="B52" t="s">
        <v>474</v>
      </c>
      <c r="C52" t="s">
        <v>475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t="s">
        <v>111</v>
      </c>
      <c r="B53" t="s">
        <v>576</v>
      </c>
      <c r="C53" t="s">
        <v>577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13</v>
      </c>
      <c r="B54" t="s">
        <v>578</v>
      </c>
      <c r="C54" t="s">
        <v>579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10</v>
      </c>
      <c r="B55" t="s">
        <v>476</v>
      </c>
      <c r="C55" t="s">
        <v>477</v>
      </c>
      <c r="D55">
        <v>4</v>
      </c>
      <c r="E55">
        <v>0</v>
      </c>
      <c r="F55">
        <v>0</v>
      </c>
      <c r="G55">
        <v>0</v>
      </c>
      <c r="H55">
        <v>0</v>
      </c>
      <c r="I55">
        <v>10</v>
      </c>
      <c r="J55">
        <v>14</v>
      </c>
    </row>
    <row r="56" spans="1:10">
      <c r="A56" t="s">
        <v>478</v>
      </c>
      <c r="B56" t="s">
        <v>479</v>
      </c>
      <c r="C56" t="s">
        <v>480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580</v>
      </c>
      <c r="B57" t="s">
        <v>581</v>
      </c>
      <c r="C57" t="s">
        <v>582</v>
      </c>
      <c r="D57">
        <v>2</v>
      </c>
      <c r="E57">
        <v>0</v>
      </c>
      <c r="F57">
        <v>0</v>
      </c>
      <c r="G57">
        <v>0</v>
      </c>
      <c r="H57">
        <v>0</v>
      </c>
      <c r="I57">
        <v>15</v>
      </c>
      <c r="J57">
        <v>17</v>
      </c>
    </row>
    <row r="58" spans="1:10">
      <c r="A58" t="s">
        <v>583</v>
      </c>
      <c r="B58" t="s">
        <v>584</v>
      </c>
      <c r="C58" t="s">
        <v>585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 t="s">
        <v>90</v>
      </c>
      <c r="B59" t="s">
        <v>481</v>
      </c>
      <c r="C59" t="s">
        <v>482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24</v>
      </c>
      <c r="B60" t="s">
        <v>370</v>
      </c>
      <c r="C60" t="s">
        <v>371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148</v>
      </c>
      <c r="B61" t="s">
        <v>372</v>
      </c>
      <c r="C61" t="s">
        <v>373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18</v>
      </c>
      <c r="B62" t="s">
        <v>586</v>
      </c>
      <c r="C62" t="s">
        <v>587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8</v>
      </c>
      <c r="B63" t="s">
        <v>483</v>
      </c>
      <c r="C63" t="s">
        <v>484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t="s">
        <v>20</v>
      </c>
      <c r="B64" t="s">
        <v>588</v>
      </c>
      <c r="C64" t="s">
        <v>589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23</v>
      </c>
      <c r="B65" t="s">
        <v>374</v>
      </c>
      <c r="C65" t="s">
        <v>375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180</v>
      </c>
      <c r="B66" t="s">
        <v>590</v>
      </c>
      <c r="C66" t="s">
        <v>591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195</v>
      </c>
      <c r="B67" t="s">
        <v>376</v>
      </c>
      <c r="C67" t="s">
        <v>377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237</v>
      </c>
      <c r="B68" t="s">
        <v>378</v>
      </c>
      <c r="C68" t="s">
        <v>379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30</v>
      </c>
      <c r="B69" t="s">
        <v>533</v>
      </c>
      <c r="C69" t="s">
        <v>534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t="s">
        <v>26</v>
      </c>
      <c r="B70" t="s">
        <v>380</v>
      </c>
      <c r="C70" t="s">
        <v>381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t="s">
        <v>301</v>
      </c>
      <c r="B71" t="s">
        <v>382</v>
      </c>
      <c r="C71" t="s">
        <v>383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252</v>
      </c>
      <c r="B72" t="s">
        <v>485</v>
      </c>
      <c r="C72" t="s">
        <v>486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166</v>
      </c>
      <c r="B73" t="s">
        <v>384</v>
      </c>
      <c r="C73" t="s">
        <v>385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487</v>
      </c>
      <c r="B74" t="s">
        <v>488</v>
      </c>
      <c r="C74" t="s">
        <v>489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12</v>
      </c>
      <c r="B75" t="s">
        <v>592</v>
      </c>
      <c r="C75" t="s">
        <v>593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29</v>
      </c>
      <c r="B76" t="s">
        <v>386</v>
      </c>
      <c r="C76" t="s">
        <v>387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172</v>
      </c>
      <c r="B77" t="s">
        <v>490</v>
      </c>
      <c r="C77" t="s">
        <v>491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124</v>
      </c>
      <c r="B78" t="s">
        <v>594</v>
      </c>
      <c r="C78" t="s">
        <v>595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281</v>
      </c>
      <c r="B79" t="s">
        <v>596</v>
      </c>
      <c r="C79" t="s">
        <v>597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285</v>
      </c>
      <c r="B80" t="s">
        <v>494</v>
      </c>
      <c r="C80" t="s">
        <v>495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27</v>
      </c>
      <c r="B81" t="s">
        <v>598</v>
      </c>
      <c r="C81" t="s">
        <v>599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186</v>
      </c>
      <c r="B82" t="s">
        <v>388</v>
      </c>
      <c r="C82" t="s">
        <v>389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257</v>
      </c>
      <c r="B83" t="s">
        <v>496</v>
      </c>
      <c r="C83" t="s">
        <v>497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233</v>
      </c>
      <c r="B84" t="s">
        <v>600</v>
      </c>
      <c r="C84" t="s">
        <v>601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602</v>
      </c>
      <c r="B85" t="s">
        <v>603</v>
      </c>
      <c r="C85" t="s">
        <v>604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605</v>
      </c>
      <c r="B86" t="s">
        <v>606</v>
      </c>
      <c r="C86" t="s">
        <v>607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174</v>
      </c>
      <c r="B87" t="s">
        <v>498</v>
      </c>
      <c r="C87" t="s">
        <v>499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176</v>
      </c>
      <c r="B88" t="s">
        <v>390</v>
      </c>
      <c r="C88" t="s">
        <v>391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16</v>
      </c>
      <c r="B89" t="s">
        <v>392</v>
      </c>
      <c r="C89" t="s">
        <v>393</v>
      </c>
      <c r="D89">
        <v>0</v>
      </c>
      <c r="E89">
        <v>0</v>
      </c>
      <c r="F89">
        <v>0</v>
      </c>
      <c r="G89">
        <v>0</v>
      </c>
      <c r="H89">
        <v>0</v>
      </c>
      <c r="I89">
        <v>10</v>
      </c>
      <c r="J89">
        <v>10</v>
      </c>
    </row>
    <row r="90" spans="1:10">
      <c r="A90" t="s">
        <v>277</v>
      </c>
      <c r="B90" t="s">
        <v>608</v>
      </c>
      <c r="C90" t="s">
        <v>609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17</v>
      </c>
      <c r="B91" t="s">
        <v>610</v>
      </c>
      <c r="C91" t="s">
        <v>611</v>
      </c>
      <c r="D91">
        <v>3</v>
      </c>
      <c r="E91">
        <v>0</v>
      </c>
      <c r="F91">
        <v>0</v>
      </c>
      <c r="G91">
        <v>0</v>
      </c>
      <c r="H91">
        <v>0</v>
      </c>
      <c r="I91">
        <v>10</v>
      </c>
      <c r="J91">
        <v>13</v>
      </c>
    </row>
    <row r="92" spans="1:10">
      <c r="A92" t="s">
        <v>240</v>
      </c>
      <c r="B92" t="s">
        <v>612</v>
      </c>
      <c r="C92" t="s">
        <v>613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184</v>
      </c>
      <c r="B93" t="s">
        <v>394</v>
      </c>
      <c r="C93" t="s">
        <v>395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22</v>
      </c>
      <c r="B94" t="s">
        <v>396</v>
      </c>
      <c r="C94" t="s">
        <v>397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152</v>
      </c>
      <c r="B95" t="s">
        <v>614</v>
      </c>
      <c r="C95" t="s">
        <v>615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205</v>
      </c>
      <c r="B96" t="s">
        <v>398</v>
      </c>
      <c r="C96" t="s">
        <v>399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21</v>
      </c>
      <c r="B97" t="s">
        <v>500</v>
      </c>
      <c r="C97" t="s">
        <v>501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260</v>
      </c>
      <c r="B98" t="s">
        <v>400</v>
      </c>
      <c r="C98" t="s">
        <v>401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188</v>
      </c>
      <c r="B99" t="s">
        <v>502</v>
      </c>
      <c r="C99" t="s">
        <v>503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152</v>
      </c>
      <c r="B100" t="s">
        <v>504</v>
      </c>
      <c r="C100" t="s">
        <v>505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506</v>
      </c>
      <c r="B101" t="s">
        <v>507</v>
      </c>
      <c r="C101" t="s">
        <v>508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250</v>
      </c>
      <c r="B102" t="s">
        <v>616</v>
      </c>
      <c r="C102" t="s">
        <v>617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19</v>
      </c>
      <c r="B103" t="s">
        <v>509</v>
      </c>
      <c r="C103" t="s">
        <v>510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268</v>
      </c>
      <c r="B104" t="s">
        <v>511</v>
      </c>
      <c r="C104" t="s">
        <v>512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178</v>
      </c>
      <c r="B105" t="s">
        <v>402</v>
      </c>
      <c r="C105" t="s">
        <v>403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193</v>
      </c>
      <c r="B106" t="s">
        <v>404</v>
      </c>
      <c r="C106" t="s">
        <v>405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513</v>
      </c>
      <c r="B107" t="s">
        <v>514</v>
      </c>
      <c r="C107" t="s">
        <v>515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t="s">
        <v>273</v>
      </c>
      <c r="B108" t="s">
        <v>618</v>
      </c>
      <c r="C108" t="s">
        <v>619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292</v>
      </c>
      <c r="B109" t="s">
        <v>516</v>
      </c>
      <c r="C109" t="s">
        <v>517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223</v>
      </c>
      <c r="B110" t="s">
        <v>406</v>
      </c>
      <c r="C110" t="s">
        <v>407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72</v>
      </c>
      <c r="B111" t="s">
        <v>518</v>
      </c>
      <c r="C111" t="s">
        <v>519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28</v>
      </c>
      <c r="B112" t="s">
        <v>620</v>
      </c>
      <c r="C112" t="s">
        <v>621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290</v>
      </c>
      <c r="B113" t="s">
        <v>622</v>
      </c>
      <c r="C113" t="s">
        <v>623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279</v>
      </c>
      <c r="B114" t="s">
        <v>408</v>
      </c>
      <c r="C114" t="s">
        <v>409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270</v>
      </c>
      <c r="B115" t="s">
        <v>520</v>
      </c>
      <c r="C115" t="s">
        <v>521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209</v>
      </c>
      <c r="B116" t="s">
        <v>410</v>
      </c>
      <c r="C116" t="s">
        <v>411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218</v>
      </c>
      <c r="B117" t="s">
        <v>624</v>
      </c>
      <c r="C117" t="s">
        <v>625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254</v>
      </c>
      <c r="B118" t="s">
        <v>626</v>
      </c>
      <c r="C118" t="s">
        <v>627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217</v>
      </c>
      <c r="B119" t="s">
        <v>522</v>
      </c>
      <c r="C119" t="s">
        <v>523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t="s">
        <v>141</v>
      </c>
      <c r="B120" t="s">
        <v>628</v>
      </c>
      <c r="C120" t="s">
        <v>629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100</v>
      </c>
      <c r="B121" t="s">
        <v>412</v>
      </c>
      <c r="C121" t="s">
        <v>413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25</v>
      </c>
      <c r="B122" t="s">
        <v>492</v>
      </c>
      <c r="C122" t="s">
        <v>493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t="s">
        <v>535</v>
      </c>
      <c r="B123" t="s">
        <v>536</v>
      </c>
      <c r="C123" t="s">
        <v>537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7</v>
      </c>
      <c r="B124" t="s">
        <v>317</v>
      </c>
      <c r="C124" t="s">
        <v>318</v>
      </c>
      <c r="D124">
        <v>4</v>
      </c>
      <c r="E124">
        <v>0</v>
      </c>
      <c r="F124">
        <v>0</v>
      </c>
      <c r="G124">
        <v>0</v>
      </c>
      <c r="H124">
        <v>0</v>
      </c>
      <c r="I124">
        <v>15</v>
      </c>
      <c r="J124">
        <v>19</v>
      </c>
    </row>
    <row r="125" spans="1:10">
      <c r="A125" t="s">
        <v>6</v>
      </c>
      <c r="B125" t="s">
        <v>423</v>
      </c>
      <c r="C125" t="s">
        <v>424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A10927CAE7845B98C13A7835B8ACF" ma:contentTypeVersion="16" ma:contentTypeDescription="Create a new document." ma:contentTypeScope="" ma:versionID="6190740655e65167dd036d0fc79a5e40">
  <xsd:schema xmlns:xsd="http://www.w3.org/2001/XMLSchema" xmlns:xs="http://www.w3.org/2001/XMLSchema" xmlns:p="http://schemas.microsoft.com/office/2006/metadata/properties" xmlns:ns2="aaa790fd-be43-4fa1-b714-3bf3ccd519e0" xmlns:ns3="863a079b-6612-438a-9fff-588fabdd3354" targetNamespace="http://schemas.microsoft.com/office/2006/metadata/properties" ma:root="true" ma:fieldsID="d1567b3c8a8e140751282dbdae0105df" ns2:_="" ns3:_="">
    <xsd:import namespace="aaa790fd-be43-4fa1-b714-3bf3ccd519e0"/>
    <xsd:import namespace="863a079b-6612-438a-9fff-588fabdd3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790fd-be43-4fa1-b714-3bf3ccd51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ca52e8-7373-4df4-a0ed-4d31ffe62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a079b-6612-438a-9fff-588fabdd335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a790fd-be43-4fa1-b714-3bf3ccd519e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CADBD9-5576-41A6-B911-85874BB29FDA}"/>
</file>

<file path=customXml/itemProps2.xml><?xml version="1.0" encoding="utf-8"?>
<ds:datastoreItem xmlns:ds="http://schemas.openxmlformats.org/officeDocument/2006/customXml" ds:itemID="{9B58BA50-AB80-42B0-B122-D1F49F2003F4}"/>
</file>

<file path=customXml/itemProps3.xml><?xml version="1.0" encoding="utf-8"?>
<ds:datastoreItem xmlns:ds="http://schemas.openxmlformats.org/officeDocument/2006/customXml" ds:itemID="{B0867EB7-C71F-49E4-9819-1ACCC250C508}"/>
</file>

<file path=docMetadata/LabelInfo.xml><?xml version="1.0" encoding="utf-8"?>
<clbl:labelList xmlns:clbl="http://schemas.microsoft.com/office/2020/mipLabelMetadata">
  <clbl:label id="{27f6b194-73f8-48d3-95d2-0d2530a9bb45}" enabled="1" method="Standard" siteId="{0483ae51-a627-466e-a7dd-de2ac7e1238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2026-01-20T14:19:47Z</dcterms:created>
  <dcterms:modified xsi:type="dcterms:W3CDTF">2026-03-02T17:43:35Z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0x01010080FA10927CAE7845B98C13A7835B8ACF</vt:lpwstr>
  </property>
  <property fmtid="{D5CDD505-2E9C-101B-9397-08002B2CF9AE}" pid="3" name="MediaServiceImageTags">
    <vt:lpwstr/>
  </property>
</Properties>
</file>